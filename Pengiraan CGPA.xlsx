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abilah\OneDrive - Universiti Sains Islam Malaysia\01. SARJANA MUDA KEJURUTERAAN ELEKTRONIK\AKADEMIK\"/>
    </mc:Choice>
  </mc:AlternateContent>
  <xr:revisionPtr revIDLastSave="0" documentId="8_{44D16886-CA85-4AF8-833F-A0481D8A4F00}" xr6:coauthVersionLast="47" xr6:coauthVersionMax="47" xr10:uidLastSave="{00000000-0000-0000-0000-000000000000}"/>
  <bookViews>
    <workbookView xWindow="-120" yWindow="-120" windowWidth="29040" windowHeight="15840" xr2:uid="{C0CC6787-61EE-4EF6-8994-08EDDD94FF27}"/>
  </bookViews>
  <sheets>
    <sheet name="A201" sheetId="1" r:id="rId1"/>
    <sheet name="GPA Tabl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80" i="1" l="1"/>
  <c r="K80" i="1" s="1"/>
  <c r="J78" i="1"/>
  <c r="J79" i="1"/>
  <c r="J77" i="1"/>
  <c r="J75" i="1"/>
  <c r="F74" i="1"/>
  <c r="G74" i="1"/>
  <c r="J72" i="1"/>
  <c r="J73" i="1"/>
  <c r="J66" i="1"/>
  <c r="K66" i="1"/>
  <c r="J65" i="1"/>
  <c r="J62" i="1"/>
  <c r="J63" i="1"/>
  <c r="J58" i="1"/>
  <c r="K57" i="1"/>
  <c r="J53" i="1"/>
  <c r="J54" i="1"/>
  <c r="J55" i="1"/>
  <c r="J56" i="1"/>
  <c r="J52" i="1"/>
  <c r="J51" i="1"/>
  <c r="G77" i="1"/>
  <c r="G78" i="1"/>
  <c r="G79" i="1"/>
  <c r="G69" i="1"/>
  <c r="G72" i="1"/>
  <c r="G73" i="1"/>
  <c r="G60" i="1"/>
  <c r="G61" i="1"/>
  <c r="G62" i="1"/>
  <c r="G63" i="1"/>
  <c r="G53" i="1"/>
  <c r="G54" i="1"/>
  <c r="G55" i="1"/>
  <c r="G56" i="1"/>
  <c r="G75" i="1"/>
  <c r="G68" i="1"/>
  <c r="G67" i="1"/>
  <c r="G65" i="1"/>
  <c r="G66" i="1"/>
  <c r="G59" i="1"/>
  <c r="G58" i="1"/>
  <c r="G52" i="1"/>
  <c r="G51" i="1"/>
  <c r="G50" i="1"/>
  <c r="G45" i="1"/>
  <c r="G46" i="1"/>
  <c r="G47" i="1"/>
  <c r="G48" i="1"/>
  <c r="G49" i="1"/>
  <c r="G44" i="1"/>
  <c r="G43" i="1"/>
  <c r="J46" i="1"/>
  <c r="J47" i="1"/>
  <c r="J48" i="1"/>
  <c r="J49" i="1"/>
  <c r="K42" i="1"/>
  <c r="J38" i="1"/>
  <c r="J39" i="1"/>
  <c r="J40" i="1"/>
  <c r="J41" i="1"/>
  <c r="J37" i="1"/>
  <c r="J35" i="1"/>
  <c r="G42" i="1"/>
  <c r="J22" i="1"/>
  <c r="G38" i="1"/>
  <c r="G39" i="1"/>
  <c r="G40" i="1"/>
  <c r="G41" i="1"/>
  <c r="G37" i="1"/>
  <c r="G35" i="1"/>
  <c r="K34" i="1"/>
  <c r="G34" i="1"/>
  <c r="G31" i="1"/>
  <c r="G32" i="1"/>
  <c r="G33" i="1"/>
  <c r="G30" i="1"/>
  <c r="G28" i="1"/>
  <c r="G25" i="1"/>
  <c r="G8" i="1"/>
  <c r="G22" i="1"/>
  <c r="I34" i="1"/>
  <c r="F34" i="1"/>
  <c r="J31" i="1"/>
  <c r="J32" i="1"/>
  <c r="J33" i="1"/>
  <c r="I8" i="1"/>
  <c r="J8" i="1" s="1"/>
  <c r="G18" i="1"/>
  <c r="G19" i="1"/>
  <c r="G20" i="1"/>
  <c r="G17" i="1"/>
  <c r="G21" i="1" s="1"/>
  <c r="G15" i="1"/>
  <c r="G11" i="1"/>
  <c r="F80" i="1"/>
  <c r="I79" i="1"/>
  <c r="I78" i="1"/>
  <c r="I77" i="1"/>
  <c r="I76" i="1"/>
  <c r="I75" i="1"/>
  <c r="I73" i="1"/>
  <c r="I72" i="1"/>
  <c r="I71" i="1"/>
  <c r="I70" i="1"/>
  <c r="I69" i="1"/>
  <c r="J69" i="1" s="1"/>
  <c r="I68" i="1"/>
  <c r="J68" i="1" s="1"/>
  <c r="I67" i="1"/>
  <c r="J67" i="1" s="1"/>
  <c r="F66" i="1"/>
  <c r="I65" i="1"/>
  <c r="F64" i="1"/>
  <c r="I63" i="1"/>
  <c r="I62" i="1"/>
  <c r="I61" i="1"/>
  <c r="J61" i="1" s="1"/>
  <c r="I60" i="1"/>
  <c r="J60" i="1" s="1"/>
  <c r="I59" i="1"/>
  <c r="J59" i="1" s="1"/>
  <c r="I58" i="1"/>
  <c r="F57" i="1"/>
  <c r="I56" i="1"/>
  <c r="I55" i="1"/>
  <c r="I54" i="1"/>
  <c r="I53" i="1"/>
  <c r="I52" i="1"/>
  <c r="I51" i="1"/>
  <c r="F50" i="1"/>
  <c r="I49" i="1"/>
  <c r="I48" i="1"/>
  <c r="I47" i="1"/>
  <c r="I46" i="1"/>
  <c r="I45" i="1"/>
  <c r="J45" i="1" s="1"/>
  <c r="I44" i="1"/>
  <c r="J44" i="1" s="1"/>
  <c r="I43" i="1"/>
  <c r="J43" i="1" s="1"/>
  <c r="F42" i="1"/>
  <c r="I41" i="1"/>
  <c r="I40" i="1"/>
  <c r="I39" i="1"/>
  <c r="I38" i="1"/>
  <c r="I37" i="1"/>
  <c r="I35" i="1"/>
  <c r="I33" i="1"/>
  <c r="I32" i="1"/>
  <c r="I31" i="1"/>
  <c r="I30" i="1"/>
  <c r="J30" i="1" s="1"/>
  <c r="I28" i="1"/>
  <c r="J28" i="1" s="1"/>
  <c r="I25" i="1"/>
  <c r="I22" i="1"/>
  <c r="F21" i="1"/>
  <c r="I20" i="1"/>
  <c r="J20" i="1" s="1"/>
  <c r="I19" i="1"/>
  <c r="J19" i="1" s="1"/>
  <c r="I18" i="1"/>
  <c r="J18" i="1" s="1"/>
  <c r="I17" i="1"/>
  <c r="J17" i="1" s="1"/>
  <c r="I15" i="1"/>
  <c r="J15" i="1" s="1"/>
  <c r="I11" i="1"/>
  <c r="J11" i="1" s="1"/>
  <c r="J74" i="1" l="1"/>
  <c r="K74" i="1" s="1"/>
  <c r="J21" i="1"/>
  <c r="K21" i="1" s="1"/>
  <c r="I21" i="1"/>
  <c r="J64" i="1"/>
  <c r="G57" i="1"/>
  <c r="G64" i="1"/>
  <c r="J25" i="1"/>
  <c r="J34" i="1" s="1"/>
  <c r="I57" i="1"/>
  <c r="I74" i="1"/>
  <c r="J42" i="1"/>
  <c r="I64" i="1"/>
  <c r="I66" i="1" s="1"/>
  <c r="I80" i="1"/>
  <c r="J50" i="1"/>
  <c r="K50" i="1" s="1"/>
  <c r="I42" i="1"/>
  <c r="J80" i="1"/>
  <c r="J57" i="1"/>
  <c r="I50" i="1"/>
  <c r="K64" i="1" l="1"/>
  <c r="L21" i="1"/>
  <c r="L34" i="1" l="1"/>
  <c r="L42" i="1"/>
  <c r="L50" i="1"/>
  <c r="L64" i="1"/>
  <c r="L74" i="1"/>
  <c r="L57" i="1"/>
  <c r="L80" i="1"/>
  <c r="L66" i="1"/>
</calcChain>
</file>

<file path=xl/sharedStrings.xml><?xml version="1.0" encoding="utf-8"?>
<sst xmlns="http://schemas.openxmlformats.org/spreadsheetml/2006/main" count="304" uniqueCount="165">
  <si>
    <t>SENARAI PENAWARAN KURSUS MENGIKUT SEMESTER</t>
  </si>
  <si>
    <t xml:space="preserve">SARJANA MUDA KEJURUTERAAN ELEKTRONIK DENGAN KEPUJIAN </t>
  </si>
  <si>
    <t>SESI AKADEMIK 2021/2022</t>
  </si>
  <si>
    <t>Semester</t>
  </si>
  <si>
    <t>Kod kursus</t>
  </si>
  <si>
    <t>Nama kursus</t>
  </si>
  <si>
    <t>Taraf kursus</t>
  </si>
  <si>
    <t>Jam Kredit</t>
  </si>
  <si>
    <t>Gred</t>
  </si>
  <si>
    <t>GPA</t>
  </si>
  <si>
    <t>I</t>
  </si>
  <si>
    <t>BAA1022</t>
  </si>
  <si>
    <t>Bahasa Arab Praktikal</t>
  </si>
  <si>
    <t>WF</t>
  </si>
  <si>
    <t>A</t>
  </si>
  <si>
    <t>BAA2022</t>
  </si>
  <si>
    <t>Bahasa Arab Komunikasi</t>
  </si>
  <si>
    <t>BAA3022</t>
  </si>
  <si>
    <t>Bahasa Arab Sains</t>
  </si>
  <si>
    <t>BIA1012</t>
  </si>
  <si>
    <t>Kemahiran Am Bahasa Inggeris</t>
  </si>
  <si>
    <t>BIA2012</t>
  </si>
  <si>
    <t xml:space="preserve">Bahasa Inggeris untuk Komunikasi </t>
  </si>
  <si>
    <t>BIS4022</t>
  </si>
  <si>
    <t>Bahasa Inggeris untuk Keperluan Profesional</t>
  </si>
  <si>
    <t>BIS5012</t>
  </si>
  <si>
    <t>Bahasa Inggeris untuk Keperluan Penyelidikan</t>
  </si>
  <si>
    <t>UTC1012</t>
  </si>
  <si>
    <t>Penghayatan Etika dan Peradaban</t>
  </si>
  <si>
    <t>WU</t>
  </si>
  <si>
    <t>UBY1012</t>
  </si>
  <si>
    <t>Bahasa Melayu Komunikasi*</t>
  </si>
  <si>
    <t>UTT3012</t>
  </si>
  <si>
    <t>Pengantar Kitab Turath</t>
  </si>
  <si>
    <t>KEE1133</t>
  </si>
  <si>
    <t>Teknologi Elektrik</t>
  </si>
  <si>
    <t>KEH1123</t>
  </si>
  <si>
    <t>Matematik Kejuruteraan I</t>
  </si>
  <si>
    <t>KEK1113</t>
  </si>
  <si>
    <t>Pengaturcaraan untuk Kejuruteraan</t>
  </si>
  <si>
    <t>*For international student only</t>
  </si>
  <si>
    <t>II</t>
  </si>
  <si>
    <t>BAA5012</t>
  </si>
  <si>
    <t>Bahasa Arab Profesional</t>
  </si>
  <si>
    <t>BIA3012</t>
  </si>
  <si>
    <t xml:space="preserve">Bahasa Inggeris untuk Keperluan Akademik </t>
  </si>
  <si>
    <t>UTP1012</t>
  </si>
  <si>
    <t>Falsafah dan Isu Semasa</t>
  </si>
  <si>
    <t>UTC1022</t>
  </si>
  <si>
    <t>Ethics and Civilization*</t>
  </si>
  <si>
    <t>KEE1223</t>
  </si>
  <si>
    <t>Rekabentuk Logik</t>
  </si>
  <si>
    <t>KEE1243</t>
  </si>
  <si>
    <t>Peranti Elektronik Analog</t>
  </si>
  <si>
    <t>KEE1253</t>
  </si>
  <si>
    <t xml:space="preserve">Instrumentasi dan Pengukuran </t>
  </si>
  <si>
    <t>KEH1213</t>
  </si>
  <si>
    <t>Matematik Kejuruteraan II</t>
  </si>
  <si>
    <t>III</t>
  </si>
  <si>
    <t>KEE2333</t>
  </si>
  <si>
    <t>Rekabentuk Litar Elektronik</t>
  </si>
  <si>
    <t>KEE2343</t>
  </si>
  <si>
    <t>Kejuruteraan Kuasa Elektrik</t>
  </si>
  <si>
    <t>KEE2353</t>
  </si>
  <si>
    <t>Amalan Kejuruteraan</t>
  </si>
  <si>
    <t>KEE2363</t>
  </si>
  <si>
    <t xml:space="preserve">Peranti Penderia </t>
  </si>
  <si>
    <t>KEH2323</t>
  </si>
  <si>
    <t>Kaedah Berangka untuk Kejuruteraan</t>
  </si>
  <si>
    <t>IV</t>
  </si>
  <si>
    <t>UTU3012</t>
  </si>
  <si>
    <t>Keusahawanan</t>
  </si>
  <si>
    <t>UTD1022</t>
  </si>
  <si>
    <t>Akidah dan Tasawuf</t>
  </si>
  <si>
    <t>UTF1032</t>
  </si>
  <si>
    <t>al-Madkhal Ila al-Fiqh al-Islami</t>
  </si>
  <si>
    <t>KEE2423</t>
  </si>
  <si>
    <t>Teori Isyarat dan Litar</t>
  </si>
  <si>
    <t>KEE2433</t>
  </si>
  <si>
    <t>Teori Elektromagnetik</t>
  </si>
  <si>
    <t>KEE2443</t>
  </si>
  <si>
    <t>Mikroelektronik</t>
  </si>
  <si>
    <t>WP</t>
  </si>
  <si>
    <t>KEH2412</t>
  </si>
  <si>
    <t xml:space="preserve">Statistik Kejuruteraan </t>
  </si>
  <si>
    <t>V</t>
  </si>
  <si>
    <t>C#####2</t>
  </si>
  <si>
    <t>Ko-Kurikulum</t>
  </si>
  <si>
    <t>KEE3513</t>
  </si>
  <si>
    <t>Teori Kawalan</t>
  </si>
  <si>
    <t>KEE3523</t>
  </si>
  <si>
    <t>Mikropemproses dan Kawalan Terbenam</t>
  </si>
  <si>
    <t>KEE3553</t>
  </si>
  <si>
    <t>Pengurusan Projek Kejuruteraan dan Kewangan</t>
  </si>
  <si>
    <t>KEK3573</t>
  </si>
  <si>
    <t>Senibina dan Organisasi Komputer</t>
  </si>
  <si>
    <t>KET3563</t>
  </si>
  <si>
    <t>Komunikasi Elektronik</t>
  </si>
  <si>
    <t>VI</t>
  </si>
  <si>
    <t>KEE3612</t>
  </si>
  <si>
    <t>Jurutera dan Masyarakat</t>
  </si>
  <si>
    <t>KEE3624</t>
  </si>
  <si>
    <t>Rekabentuk Projek Kejuruteraan Elektronik</t>
  </si>
  <si>
    <t>KEE3633</t>
  </si>
  <si>
    <t>Rekabentuk Litar Terkamir</t>
  </si>
  <si>
    <t>KEE3653</t>
  </si>
  <si>
    <t>Robotik</t>
  </si>
  <si>
    <t>KEE3663</t>
  </si>
  <si>
    <t xml:space="preserve">Elektronik Kuasa                  </t>
  </si>
  <si>
    <t>KET3643</t>
  </si>
  <si>
    <t>Pemprosesan Isyarat Digit</t>
  </si>
  <si>
    <t>VIA</t>
  </si>
  <si>
    <t>KEZ3996</t>
  </si>
  <si>
    <t>Latihan Industri</t>
  </si>
  <si>
    <t>VII</t>
  </si>
  <si>
    <t>KEE4712</t>
  </si>
  <si>
    <t>Tesis I</t>
  </si>
  <si>
    <t>KEE4733</t>
  </si>
  <si>
    <t>Pemacu dan Mesin Elektrik*</t>
  </si>
  <si>
    <t>EP</t>
  </si>
  <si>
    <t>KEE4753</t>
  </si>
  <si>
    <t>Rekabentuk FPGA*</t>
  </si>
  <si>
    <t>KEE4773</t>
  </si>
  <si>
    <t>Peranti Semikonduktor*</t>
  </si>
  <si>
    <t>KEK4743</t>
  </si>
  <si>
    <t>Rangkaian Neural dan Logik Fuzzy*</t>
  </si>
  <si>
    <t>KEK4783</t>
  </si>
  <si>
    <t>Kecerdasan Buatan*</t>
  </si>
  <si>
    <t>KET4763</t>
  </si>
  <si>
    <t>Komunikasi Data dan Internet*</t>
  </si>
  <si>
    <t xml:space="preserve">*Choose 4 courses  </t>
  </si>
  <si>
    <t>VIII</t>
  </si>
  <si>
    <t>KEE4814</t>
  </si>
  <si>
    <t>Tesis II</t>
  </si>
  <si>
    <t>KEE4833</t>
  </si>
  <si>
    <t>Elektronik Perubatan*</t>
  </si>
  <si>
    <t>KEE4843</t>
  </si>
  <si>
    <t>Elektronik Opto*</t>
  </si>
  <si>
    <t>KEE4863</t>
  </si>
  <si>
    <t>Sistem Kuasa*</t>
  </si>
  <si>
    <t>KET4853</t>
  </si>
  <si>
    <t>Kejuruteraan Frekuensi Radio dan Mikrogelombang*</t>
  </si>
  <si>
    <t xml:space="preserve">*Choose 3 courses  </t>
  </si>
  <si>
    <t>Grade &amp; GPA Table</t>
  </si>
  <si>
    <t>Letter Grade</t>
  </si>
  <si>
    <t>F</t>
  </si>
  <si>
    <t>D</t>
  </si>
  <si>
    <t>C-</t>
  </si>
  <si>
    <t>C</t>
  </si>
  <si>
    <t>C+</t>
  </si>
  <si>
    <t>B-</t>
  </si>
  <si>
    <t>B</t>
  </si>
  <si>
    <t>B+</t>
  </si>
  <si>
    <t>A-</t>
  </si>
  <si>
    <t>A+</t>
  </si>
  <si>
    <t xml:space="preserve">Passing </t>
  </si>
  <si>
    <t>Fail</t>
  </si>
  <si>
    <t>Pass</t>
  </si>
  <si>
    <t>University Level</t>
  </si>
  <si>
    <t xml:space="preserve">Fail </t>
  </si>
  <si>
    <t xml:space="preserve">Satisfactory </t>
  </si>
  <si>
    <t>Good</t>
  </si>
  <si>
    <t>Excellent</t>
  </si>
  <si>
    <t>Distinction</t>
  </si>
  <si>
    <t>Gred Unit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</si>
</sst>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Arial Narrow"/>
      <family val="2"/>
    </font>
    <font>
      <sz val="10"/>
      <name val="Arial"/>
      <family val="2"/>
    </font>
    <font>
      <b/>
      <sz val="8"/>
      <color theme="1"/>
      <name val="Arial"/>
      <family val="2"/>
    </font>
    <font>
      <b/>
      <sz val="10"/>
      <name val="Arial"/>
      <family val="2"/>
    </font>
    <font>
      <sz val="10"/>
      <color rgb="FF000000"/>
      <name val="Arial"/>
      <family val="2"/>
    </font>
    <font>
      <b/>
      <sz val="16"/>
      <name val="Arial"/>
      <family val="2"/>
    </font>
    <font>
      <sz val="9"/>
      <name val="Arial"/>
      <family val="2"/>
    </font>
    <font>
      <b/>
      <sz val="9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6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4"/>
        <bgColor indexed="64"/>
      </patternFill>
    </fill>
  </fills>
  <borders count="5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/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double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rgb="FF000000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indexed="64"/>
      </right>
      <top/>
      <bottom style="thin">
        <color rgb="FF000000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double">
        <color indexed="64"/>
      </top>
      <bottom/>
      <diagonal/>
    </border>
    <border>
      <left/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/>
      <top style="thin">
        <color rgb="FF000000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thin">
        <color indexed="64"/>
      </bottom>
      <diagonal/>
    </border>
    <border>
      <left/>
      <right style="medium">
        <color rgb="FF000000"/>
      </right>
      <top style="thin">
        <color rgb="FF000000"/>
      </top>
      <bottom style="thin">
        <color indexed="64"/>
      </bottom>
      <diagonal/>
    </border>
    <border>
      <left style="medium">
        <color rgb="FF000000"/>
      </left>
      <right style="medium">
        <color indexed="64"/>
      </right>
      <top style="thin">
        <color rgb="FF000000"/>
      </top>
      <bottom style="thin">
        <color indexed="64"/>
      </bottom>
      <diagonal/>
    </border>
    <border>
      <left style="medium">
        <color rgb="FF000000"/>
      </left>
      <right/>
      <top style="thin">
        <color rgb="FF000000"/>
      </top>
      <bottom style="thin">
        <color indexed="64"/>
      </bottom>
      <diagonal/>
    </border>
    <border>
      <left/>
      <right style="medium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55"/>
      </left>
      <right/>
      <top style="thin">
        <color indexed="55"/>
      </top>
      <bottom style="thin">
        <color theme="0" tint="-0.14999847407452621"/>
      </bottom>
      <diagonal/>
    </border>
    <border>
      <left/>
      <right/>
      <top style="thin">
        <color indexed="55"/>
      </top>
      <bottom style="thin">
        <color theme="0" tint="-0.14999847407452621"/>
      </bottom>
      <diagonal/>
    </border>
    <border>
      <left/>
      <right style="thin">
        <color indexed="55"/>
      </right>
      <top style="thin">
        <color indexed="55"/>
      </top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</borders>
  <cellStyleXfs count="2">
    <xf numFmtId="0" fontId="0" fillId="0" borderId="0"/>
    <xf numFmtId="0" fontId="4" fillId="0" borderId="0"/>
  </cellStyleXfs>
  <cellXfs count="212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right" vertical="center"/>
    </xf>
    <xf numFmtId="0" fontId="1" fillId="0" borderId="0" xfId="0" applyFont="1"/>
    <xf numFmtId="2" fontId="1" fillId="0" borderId="0" xfId="0" applyNumberFormat="1" applyFont="1"/>
    <xf numFmtId="0" fontId="3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2" fontId="2" fillId="2" borderId="4" xfId="0" applyNumberFormat="1" applyFont="1" applyFill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justify" vertical="center" wrapText="1"/>
    </xf>
    <xf numFmtId="0" fontId="4" fillId="0" borderId="8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justify" vertical="center" wrapText="1"/>
    </xf>
    <xf numFmtId="0" fontId="4" fillId="0" borderId="12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1" fillId="0" borderId="13" xfId="0" applyFont="1" applyBorder="1" applyAlignment="1">
      <alignment vertical="center" wrapText="1"/>
    </xf>
    <xf numFmtId="0" fontId="4" fillId="0" borderId="11" xfId="0" applyFont="1" applyBorder="1" applyAlignment="1">
      <alignment horizontal="left" vertical="center" wrapText="1"/>
    </xf>
    <xf numFmtId="0" fontId="4" fillId="0" borderId="13" xfId="0" applyFont="1" applyBorder="1" applyAlignment="1">
      <alignment horizontal="left" vertical="center" wrapText="1"/>
    </xf>
    <xf numFmtId="0" fontId="4" fillId="0" borderId="11" xfId="0" applyFont="1" applyBorder="1" applyAlignment="1">
      <alignment horizontal="center" vertical="center" wrapText="1"/>
    </xf>
    <xf numFmtId="49" fontId="4" fillId="3" borderId="11" xfId="0" applyNumberFormat="1" applyFont="1" applyFill="1" applyBorder="1" applyAlignment="1">
      <alignment horizontal="center" vertical="center" wrapText="1"/>
    </xf>
    <xf numFmtId="2" fontId="4" fillId="0" borderId="11" xfId="0" applyNumberFormat="1" applyFont="1" applyBorder="1" applyAlignment="1">
      <alignment horizontal="center" vertical="center" wrapText="1"/>
    </xf>
    <xf numFmtId="0" fontId="4" fillId="4" borderId="11" xfId="0" applyFont="1" applyFill="1" applyBorder="1" applyAlignment="1">
      <alignment horizontal="center" vertical="center" wrapText="1"/>
    </xf>
    <xf numFmtId="0" fontId="4" fillId="0" borderId="14" xfId="0" applyFont="1" applyBorder="1" applyAlignment="1">
      <alignment horizontal="center" vertical="center" wrapText="1"/>
    </xf>
    <xf numFmtId="49" fontId="4" fillId="3" borderId="14" xfId="0" applyNumberFormat="1" applyFont="1" applyFill="1" applyBorder="1" applyAlignment="1">
      <alignment horizontal="center" vertical="center" wrapText="1"/>
    </xf>
    <xf numFmtId="0" fontId="1" fillId="0" borderId="16" xfId="0" applyFont="1" applyBorder="1" applyAlignment="1">
      <alignment horizontal="center" vertical="center" wrapText="1"/>
    </xf>
    <xf numFmtId="0" fontId="1" fillId="0" borderId="17" xfId="0" applyFont="1" applyBorder="1" applyAlignment="1">
      <alignment vertical="center" wrapText="1"/>
    </xf>
    <xf numFmtId="0" fontId="4" fillId="0" borderId="18" xfId="0" applyFont="1" applyBorder="1" applyAlignment="1">
      <alignment horizontal="center" vertical="center" wrapText="1"/>
    </xf>
    <xf numFmtId="0" fontId="6" fillId="0" borderId="23" xfId="0" applyFont="1" applyBorder="1" applyAlignment="1">
      <alignment horizontal="center" vertical="center"/>
    </xf>
    <xf numFmtId="0" fontId="6" fillId="4" borderId="23" xfId="0" applyFont="1" applyFill="1" applyBorder="1" applyAlignment="1">
      <alignment horizontal="center" vertical="center"/>
    </xf>
    <xf numFmtId="2" fontId="6" fillId="0" borderId="23" xfId="0" applyNumberFormat="1" applyFont="1" applyBorder="1" applyAlignment="1">
      <alignment horizontal="center" vertical="center"/>
    </xf>
    <xf numFmtId="0" fontId="4" fillId="0" borderId="24" xfId="0" applyFont="1" applyBorder="1" applyAlignment="1">
      <alignment horizontal="center" vertical="center" wrapText="1"/>
    </xf>
    <xf numFmtId="0" fontId="4" fillId="0" borderId="25" xfId="0" applyFont="1" applyBorder="1" applyAlignment="1">
      <alignment horizontal="center" vertical="center" wrapText="1"/>
    </xf>
    <xf numFmtId="0" fontId="4" fillId="0" borderId="15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justify" vertical="center" wrapText="1"/>
    </xf>
    <xf numFmtId="0" fontId="4" fillId="0" borderId="26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11" xfId="0" applyFont="1" applyBorder="1" applyAlignment="1">
      <alignment vertical="center" wrapText="1"/>
    </xf>
    <xf numFmtId="0" fontId="4" fillId="0" borderId="13" xfId="0" applyFont="1" applyBorder="1" applyAlignment="1">
      <alignment vertical="center" wrapText="1"/>
    </xf>
    <xf numFmtId="0" fontId="4" fillId="3" borderId="11" xfId="0" applyFont="1" applyFill="1" applyBorder="1" applyAlignment="1">
      <alignment horizontal="center" vertical="center" wrapText="1"/>
    </xf>
    <xf numFmtId="0" fontId="4" fillId="0" borderId="11" xfId="0" applyFont="1" applyBorder="1" applyAlignment="1">
      <alignment vertical="center" wrapText="1"/>
    </xf>
    <xf numFmtId="0" fontId="4" fillId="0" borderId="10" xfId="0" applyFont="1" applyBorder="1" applyAlignment="1">
      <alignment horizontal="center" vertical="center" wrapText="1" readingOrder="1"/>
    </xf>
    <xf numFmtId="0" fontId="4" fillId="0" borderId="11" xfId="0" applyFont="1" applyBorder="1" applyAlignment="1">
      <alignment horizontal="left" vertical="center" wrapText="1" readingOrder="1"/>
    </xf>
    <xf numFmtId="0" fontId="4" fillId="0" borderId="27" xfId="0" applyFont="1" applyBorder="1" applyAlignment="1">
      <alignment horizontal="center" vertical="center" wrapText="1" readingOrder="1"/>
    </xf>
    <xf numFmtId="0" fontId="4" fillId="0" borderId="28" xfId="0" applyFont="1" applyBorder="1" applyAlignment="1">
      <alignment horizontal="center" vertical="center" wrapText="1" readingOrder="1"/>
    </xf>
    <xf numFmtId="0" fontId="4" fillId="3" borderId="28" xfId="0" applyFont="1" applyFill="1" applyBorder="1" applyAlignment="1">
      <alignment horizontal="center" vertical="center" wrapText="1" readingOrder="1"/>
    </xf>
    <xf numFmtId="0" fontId="4" fillId="4" borderId="28" xfId="0" applyFont="1" applyFill="1" applyBorder="1" applyAlignment="1">
      <alignment horizontal="center" vertical="center" wrapText="1" readingOrder="1"/>
    </xf>
    <xf numFmtId="0" fontId="4" fillId="0" borderId="16" xfId="0" applyFont="1" applyBorder="1" applyAlignment="1">
      <alignment horizontal="center" vertical="center" wrapText="1"/>
    </xf>
    <xf numFmtId="0" fontId="4" fillId="0" borderId="17" xfId="0" applyFont="1" applyBorder="1" applyAlignment="1">
      <alignment vertical="center" wrapText="1"/>
    </xf>
    <xf numFmtId="0" fontId="4" fillId="0" borderId="29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0" fontId="4" fillId="3" borderId="13" xfId="0" applyFont="1" applyFill="1" applyBorder="1" applyAlignment="1">
      <alignment horizontal="center" vertical="center" wrapText="1"/>
    </xf>
    <xf numFmtId="0" fontId="4" fillId="4" borderId="13" xfId="0" applyFont="1" applyFill="1" applyBorder="1" applyAlignment="1">
      <alignment horizontal="center" vertical="center" wrapText="1"/>
    </xf>
    <xf numFmtId="0" fontId="4" fillId="0" borderId="30" xfId="0" applyFont="1" applyBorder="1" applyAlignment="1">
      <alignment horizontal="left" vertical="center" wrapText="1" readingOrder="1"/>
    </xf>
    <xf numFmtId="0" fontId="4" fillId="0" borderId="31" xfId="0" applyFont="1" applyBorder="1" applyAlignment="1">
      <alignment horizontal="center" vertical="center" wrapText="1" readingOrder="1"/>
    </xf>
    <xf numFmtId="0" fontId="4" fillId="0" borderId="32" xfId="0" applyFont="1" applyBorder="1" applyAlignment="1">
      <alignment horizontal="center" vertical="center" wrapText="1" readingOrder="1"/>
    </xf>
    <xf numFmtId="0" fontId="4" fillId="3" borderId="32" xfId="0" applyFont="1" applyFill="1" applyBorder="1" applyAlignment="1">
      <alignment horizontal="center" vertical="center" wrapText="1" readingOrder="1"/>
    </xf>
    <xf numFmtId="0" fontId="4" fillId="4" borderId="32" xfId="0" applyFont="1" applyFill="1" applyBorder="1" applyAlignment="1">
      <alignment horizontal="center" vertical="center" wrapText="1" readingOrder="1"/>
    </xf>
    <xf numFmtId="0" fontId="4" fillId="0" borderId="33" xfId="0" applyFont="1" applyBorder="1" applyAlignment="1">
      <alignment horizontal="center" vertical="center" wrapText="1"/>
    </xf>
    <xf numFmtId="0" fontId="6" fillId="0" borderId="34" xfId="0" applyFont="1" applyBorder="1" applyAlignment="1">
      <alignment horizontal="center" vertical="center"/>
    </xf>
    <xf numFmtId="0" fontId="6" fillId="4" borderId="34" xfId="0" applyFont="1" applyFill="1" applyBorder="1" applyAlignment="1">
      <alignment horizontal="center" vertical="center"/>
    </xf>
    <xf numFmtId="2" fontId="6" fillId="0" borderId="34" xfId="0" applyNumberFormat="1" applyFont="1" applyBorder="1" applyAlignment="1">
      <alignment horizontal="center" vertical="center"/>
    </xf>
    <xf numFmtId="0" fontId="4" fillId="0" borderId="7" xfId="0" applyFont="1" applyBorder="1" applyAlignment="1">
      <alignment vertical="center" wrapText="1"/>
    </xf>
    <xf numFmtId="0" fontId="4" fillId="0" borderId="7" xfId="0" applyFont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2" fontId="4" fillId="0" borderId="6" xfId="0" applyNumberFormat="1" applyFont="1" applyBorder="1" applyAlignment="1">
      <alignment horizontal="center" vertical="center"/>
    </xf>
    <xf numFmtId="0" fontId="4" fillId="4" borderId="8" xfId="0" applyFont="1" applyFill="1" applyBorder="1" applyAlignment="1">
      <alignment horizontal="center" vertical="center"/>
    </xf>
    <xf numFmtId="0" fontId="4" fillId="3" borderId="10" xfId="0" applyFont="1" applyFill="1" applyBorder="1" applyAlignment="1">
      <alignment horizontal="center" vertical="center" wrapText="1"/>
    </xf>
    <xf numFmtId="2" fontId="4" fillId="0" borderId="10" xfId="0" applyNumberFormat="1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4" borderId="12" xfId="0" applyFont="1" applyFill="1" applyBorder="1" applyAlignment="1">
      <alignment horizontal="center" vertical="center" wrapText="1"/>
    </xf>
    <xf numFmtId="0" fontId="4" fillId="3" borderId="10" xfId="0" applyFont="1" applyFill="1" applyBorder="1" applyAlignment="1">
      <alignment horizontal="center" vertical="center"/>
    </xf>
    <xf numFmtId="0" fontId="4" fillId="4" borderId="12" xfId="0" applyFont="1" applyFill="1" applyBorder="1" applyAlignment="1">
      <alignment horizontal="center" vertical="center"/>
    </xf>
    <xf numFmtId="0" fontId="4" fillId="0" borderId="35" xfId="0" applyFont="1" applyBorder="1" applyAlignment="1">
      <alignment horizontal="center" vertical="center" wrapText="1"/>
    </xf>
    <xf numFmtId="2" fontId="4" fillId="0" borderId="36" xfId="0" applyNumberFormat="1" applyFont="1" applyBorder="1" applyAlignment="1">
      <alignment horizontal="center" vertical="center"/>
    </xf>
    <xf numFmtId="0" fontId="4" fillId="0" borderId="37" xfId="0" applyFont="1" applyBorder="1" applyAlignment="1">
      <alignment horizontal="center" vertical="center"/>
    </xf>
    <xf numFmtId="2" fontId="6" fillId="0" borderId="9" xfId="0" applyNumberFormat="1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 wrapText="1"/>
    </xf>
    <xf numFmtId="2" fontId="4" fillId="0" borderId="6" xfId="0" applyNumberFormat="1" applyFont="1" applyBorder="1" applyAlignment="1">
      <alignment horizontal="center" vertical="center" wrapText="1"/>
    </xf>
    <xf numFmtId="0" fontId="4" fillId="4" borderId="8" xfId="0" applyFont="1" applyFill="1" applyBorder="1" applyAlignment="1">
      <alignment horizontal="center" vertical="center" wrapText="1"/>
    </xf>
    <xf numFmtId="0" fontId="1" fillId="0" borderId="25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2" fontId="4" fillId="0" borderId="10" xfId="0" applyNumberFormat="1" applyFont="1" applyBorder="1" applyAlignment="1">
      <alignment horizontal="center" vertical="center" wrapText="1"/>
    </xf>
    <xf numFmtId="0" fontId="1" fillId="4" borderId="38" xfId="0" applyFont="1" applyFill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4" borderId="12" xfId="0" applyFont="1" applyFill="1" applyBorder="1" applyAlignment="1">
      <alignment horizontal="center" vertical="center" wrapText="1"/>
    </xf>
    <xf numFmtId="0" fontId="4" fillId="0" borderId="39" xfId="0" applyFont="1" applyBorder="1" applyAlignment="1">
      <alignment horizontal="center" vertical="center" wrapText="1" readingOrder="1"/>
    </xf>
    <xf numFmtId="0" fontId="7" fillId="0" borderId="30" xfId="0" applyFont="1" applyBorder="1" applyAlignment="1">
      <alignment horizontal="left" vertical="center" wrapText="1" readingOrder="1"/>
    </xf>
    <xf numFmtId="0" fontId="7" fillId="0" borderId="31" xfId="0" applyFont="1" applyBorder="1" applyAlignment="1">
      <alignment horizontal="center" vertical="center" wrapText="1" readingOrder="1"/>
    </xf>
    <xf numFmtId="0" fontId="7" fillId="0" borderId="40" xfId="0" applyFont="1" applyBorder="1" applyAlignment="1">
      <alignment horizontal="center" vertical="center" wrapText="1" readingOrder="1"/>
    </xf>
    <xf numFmtId="0" fontId="7" fillId="4" borderId="42" xfId="0" applyFont="1" applyFill="1" applyBorder="1" applyAlignment="1">
      <alignment horizontal="center" vertical="center" wrapText="1" readingOrder="1"/>
    </xf>
    <xf numFmtId="0" fontId="4" fillId="0" borderId="36" xfId="0" applyFont="1" applyBorder="1" applyAlignment="1">
      <alignment horizontal="center" vertical="center" wrapText="1"/>
    </xf>
    <xf numFmtId="0" fontId="1" fillId="0" borderId="37" xfId="0" applyFont="1" applyBorder="1" applyAlignment="1">
      <alignment horizontal="center" vertical="center" wrapText="1"/>
    </xf>
    <xf numFmtId="2" fontId="4" fillId="0" borderId="36" xfId="0" applyNumberFormat="1" applyFont="1" applyBorder="1" applyAlignment="1">
      <alignment horizontal="center" vertical="center" wrapText="1"/>
    </xf>
    <xf numFmtId="0" fontId="4" fillId="0" borderId="37" xfId="0" applyFont="1" applyBorder="1" applyAlignment="1">
      <alignment horizontal="center" vertical="center" wrapText="1"/>
    </xf>
    <xf numFmtId="0" fontId="1" fillId="4" borderId="18" xfId="0" applyFont="1" applyFill="1" applyBorder="1" applyAlignment="1">
      <alignment horizontal="center" vertical="center" wrapText="1"/>
    </xf>
    <xf numFmtId="0" fontId="6" fillId="0" borderId="19" xfId="0" applyFont="1" applyBorder="1" applyAlignment="1">
      <alignment horizontal="center" vertical="center"/>
    </xf>
    <xf numFmtId="0" fontId="6" fillId="4" borderId="19" xfId="0" applyFont="1" applyFill="1" applyBorder="1" applyAlignment="1">
      <alignment horizontal="center" vertical="center"/>
    </xf>
    <xf numFmtId="2" fontId="4" fillId="0" borderId="7" xfId="0" applyNumberFormat="1" applyFont="1" applyBorder="1" applyAlignment="1">
      <alignment horizontal="center" vertical="center" wrapText="1"/>
    </xf>
    <xf numFmtId="0" fontId="4" fillId="4" borderId="7" xfId="0" applyFont="1" applyFill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left" vertical="center"/>
    </xf>
    <xf numFmtId="0" fontId="4" fillId="0" borderId="12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4" borderId="9" xfId="0" applyFont="1" applyFill="1" applyBorder="1" applyAlignment="1">
      <alignment horizontal="center" vertical="center"/>
    </xf>
    <xf numFmtId="2" fontId="4" fillId="0" borderId="37" xfId="0" applyNumberFormat="1" applyFont="1" applyBorder="1" applyAlignment="1">
      <alignment horizontal="center" vertical="center" wrapText="1"/>
    </xf>
    <xf numFmtId="0" fontId="4" fillId="4" borderId="37" xfId="0" applyFont="1" applyFill="1" applyBorder="1" applyAlignment="1">
      <alignment horizontal="center" vertical="center" wrapText="1"/>
    </xf>
    <xf numFmtId="2" fontId="6" fillId="0" borderId="19" xfId="0" applyNumberFormat="1" applyFont="1" applyBorder="1" applyAlignment="1">
      <alignment horizontal="center" vertical="center"/>
    </xf>
    <xf numFmtId="0" fontId="4" fillId="0" borderId="45" xfId="0" applyFont="1" applyBorder="1" applyAlignment="1">
      <alignment horizontal="center" vertical="center" wrapText="1"/>
    </xf>
    <xf numFmtId="0" fontId="4" fillId="0" borderId="46" xfId="0" applyFont="1" applyBorder="1" applyAlignment="1">
      <alignment horizontal="justify" vertical="center" wrapText="1"/>
    </xf>
    <xf numFmtId="0" fontId="4" fillId="0" borderId="47" xfId="0" applyFont="1" applyBorder="1" applyAlignment="1">
      <alignment horizontal="center" vertical="center" wrapText="1"/>
    </xf>
    <xf numFmtId="0" fontId="6" fillId="0" borderId="17" xfId="0" applyFont="1" applyBorder="1" applyAlignment="1">
      <alignment horizontal="center" vertical="center" wrapText="1"/>
    </xf>
    <xf numFmtId="2" fontId="6" fillId="0" borderId="17" xfId="0" applyNumberFormat="1" applyFont="1" applyBorder="1" applyAlignment="1">
      <alignment horizontal="center" vertical="center" wrapText="1"/>
    </xf>
    <xf numFmtId="0" fontId="6" fillId="4" borderId="17" xfId="0" applyFont="1" applyFill="1" applyBorder="1" applyAlignment="1">
      <alignment horizontal="center" vertical="center" wrapText="1"/>
    </xf>
    <xf numFmtId="0" fontId="4" fillId="0" borderId="5" xfId="0" applyFont="1" applyBorder="1" applyAlignment="1">
      <alignment horizontal="justify" vertical="center" wrapText="1"/>
    </xf>
    <xf numFmtId="0" fontId="4" fillId="0" borderId="40" xfId="0" applyFont="1" applyBorder="1" applyAlignment="1">
      <alignment horizontal="center" vertical="center" wrapText="1" readingOrder="1"/>
    </xf>
    <xf numFmtId="0" fontId="4" fillId="4" borderId="42" xfId="0" applyFont="1" applyFill="1" applyBorder="1" applyAlignment="1">
      <alignment horizontal="center" vertical="center" wrapText="1" readingOrder="1"/>
    </xf>
    <xf numFmtId="2" fontId="4" fillId="4" borderId="10" xfId="0" applyNumberFormat="1" applyFont="1" applyFill="1" applyBorder="1" applyAlignment="1">
      <alignment horizontal="center" vertical="center" wrapText="1"/>
    </xf>
    <xf numFmtId="0" fontId="4" fillId="4" borderId="38" xfId="0" applyFont="1" applyFill="1" applyBorder="1" applyAlignment="1">
      <alignment horizontal="center" vertical="center" wrapText="1"/>
    </xf>
    <xf numFmtId="0" fontId="4" fillId="5" borderId="10" xfId="0" applyFont="1" applyFill="1" applyBorder="1" applyAlignment="1">
      <alignment horizontal="center" vertical="center" wrapText="1"/>
    </xf>
    <xf numFmtId="0" fontId="4" fillId="5" borderId="30" xfId="0" applyFont="1" applyFill="1" applyBorder="1" applyAlignment="1">
      <alignment horizontal="justify" vertical="center" wrapText="1"/>
    </xf>
    <xf numFmtId="0" fontId="4" fillId="5" borderId="26" xfId="0" applyFont="1" applyFill="1" applyBorder="1" applyAlignment="1">
      <alignment horizontal="center" vertical="center" wrapText="1"/>
    </xf>
    <xf numFmtId="0" fontId="4" fillId="5" borderId="11" xfId="0" applyFont="1" applyFill="1" applyBorder="1" applyAlignment="1">
      <alignment horizontal="center" vertical="center" wrapText="1"/>
    </xf>
    <xf numFmtId="0" fontId="4" fillId="0" borderId="48" xfId="0" applyFont="1" applyBorder="1" applyAlignment="1">
      <alignment horizontal="center" vertical="center" wrapText="1" readingOrder="1"/>
    </xf>
    <xf numFmtId="0" fontId="4" fillId="0" borderId="49" xfId="0" applyFont="1" applyBorder="1" applyAlignment="1">
      <alignment horizontal="left" vertical="center" wrapText="1" readingOrder="1"/>
    </xf>
    <xf numFmtId="0" fontId="4" fillId="0" borderId="50" xfId="0" applyFont="1" applyBorder="1" applyAlignment="1">
      <alignment horizontal="center" vertical="center" wrapText="1" readingOrder="1"/>
    </xf>
    <xf numFmtId="0" fontId="4" fillId="0" borderId="51" xfId="0" applyFont="1" applyBorder="1" applyAlignment="1">
      <alignment horizontal="center" vertical="center" wrapText="1" readingOrder="1"/>
    </xf>
    <xf numFmtId="0" fontId="4" fillId="4" borderId="53" xfId="0" applyFont="1" applyFill="1" applyBorder="1" applyAlignment="1">
      <alignment horizontal="center" vertical="center" wrapText="1" readingOrder="1"/>
    </xf>
    <xf numFmtId="0" fontId="4" fillId="0" borderId="17" xfId="0" applyFont="1" applyBorder="1" applyAlignment="1">
      <alignment horizontal="justify" vertical="center" wrapText="1"/>
    </xf>
    <xf numFmtId="0" fontId="4" fillId="4" borderId="35" xfId="0" applyFont="1" applyFill="1" applyBorder="1" applyAlignment="1">
      <alignment horizontal="center" vertical="center" wrapText="1"/>
    </xf>
    <xf numFmtId="2" fontId="4" fillId="4" borderId="11" xfId="0" applyNumberFormat="1" applyFont="1" applyFill="1" applyBorder="1" applyAlignment="1">
      <alignment horizontal="center" vertical="center" wrapText="1"/>
    </xf>
    <xf numFmtId="0" fontId="7" fillId="3" borderId="40" xfId="0" applyFont="1" applyFill="1" applyBorder="1" applyAlignment="1">
      <alignment horizontal="center" vertical="center" wrapText="1" readingOrder="1"/>
    </xf>
    <xf numFmtId="0" fontId="7" fillId="4" borderId="40" xfId="0" applyFont="1" applyFill="1" applyBorder="1" applyAlignment="1">
      <alignment horizontal="center" vertical="center" wrapText="1" readingOrder="1"/>
    </xf>
    <xf numFmtId="0" fontId="4" fillId="0" borderId="17" xfId="0" applyFont="1" applyBorder="1" applyAlignment="1">
      <alignment horizontal="left" vertical="center" wrapText="1"/>
    </xf>
    <xf numFmtId="0" fontId="4" fillId="0" borderId="17" xfId="0" applyFont="1" applyBorder="1" applyAlignment="1">
      <alignment horizontal="center" vertical="center" wrapText="1"/>
    </xf>
    <xf numFmtId="0" fontId="4" fillId="3" borderId="17" xfId="0" applyFont="1" applyFill="1" applyBorder="1" applyAlignment="1">
      <alignment horizontal="center" vertical="center" wrapText="1"/>
    </xf>
    <xf numFmtId="0" fontId="4" fillId="4" borderId="17" xfId="0" applyFont="1" applyFill="1" applyBorder="1" applyAlignment="1">
      <alignment horizontal="center" vertical="center" wrapText="1"/>
    </xf>
    <xf numFmtId="0" fontId="2" fillId="0" borderId="19" xfId="0" applyFont="1" applyBorder="1" applyAlignment="1">
      <alignment horizontal="center" vertical="center"/>
    </xf>
    <xf numFmtId="0" fontId="2" fillId="4" borderId="19" xfId="0" applyFont="1" applyFill="1" applyBorder="1" applyAlignment="1">
      <alignment horizontal="center" vertical="center"/>
    </xf>
    <xf numFmtId="2" fontId="2" fillId="0" borderId="19" xfId="0" applyNumberFormat="1" applyFont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9" fillId="7" borderId="0" xfId="1" applyFont="1" applyFill="1" applyAlignment="1">
      <alignment horizontal="center" vertical="center"/>
    </xf>
    <xf numFmtId="0" fontId="10" fillId="8" borderId="57" xfId="1" applyFont="1" applyFill="1" applyBorder="1" applyAlignment="1">
      <alignment horizontal="center" vertical="center"/>
    </xf>
    <xf numFmtId="0" fontId="9" fillId="7" borderId="57" xfId="1" applyFont="1" applyFill="1" applyBorder="1" applyAlignment="1" applyProtection="1">
      <alignment horizontal="center" vertical="center"/>
      <protection locked="0"/>
    </xf>
    <xf numFmtId="2" fontId="9" fillId="7" borderId="57" xfId="1" applyNumberFormat="1" applyFont="1" applyFill="1" applyBorder="1" applyAlignment="1" applyProtection="1">
      <alignment horizontal="center" vertical="center"/>
      <protection locked="0"/>
    </xf>
    <xf numFmtId="0" fontId="4" fillId="3" borderId="6" xfId="0" applyFont="1" applyFill="1" applyBorder="1" applyAlignment="1">
      <alignment horizontal="center" vertical="center" wrapText="1"/>
    </xf>
    <xf numFmtId="0" fontId="4" fillId="3" borderId="41" xfId="0" applyFont="1" applyFill="1" applyBorder="1" applyAlignment="1">
      <alignment horizontal="center" vertical="center" wrapText="1" readingOrder="1"/>
    </xf>
    <xf numFmtId="0" fontId="4" fillId="3" borderId="15" xfId="0" applyFont="1" applyFill="1" applyBorder="1" applyAlignment="1">
      <alignment horizontal="center" vertical="center" wrapText="1"/>
    </xf>
    <xf numFmtId="0" fontId="4" fillId="3" borderId="52" xfId="0" applyFont="1" applyFill="1" applyBorder="1" applyAlignment="1">
      <alignment horizontal="center" vertical="center" wrapText="1" readingOrder="1"/>
    </xf>
    <xf numFmtId="0" fontId="1" fillId="3" borderId="44" xfId="0" applyFont="1" applyFill="1" applyBorder="1" applyAlignment="1">
      <alignment horizontal="center" vertical="center"/>
    </xf>
    <xf numFmtId="0" fontId="4" fillId="3" borderId="36" xfId="0" applyFont="1" applyFill="1" applyBorder="1" applyAlignment="1">
      <alignment horizontal="center" vertical="center" wrapText="1"/>
    </xf>
    <xf numFmtId="0" fontId="6" fillId="3" borderId="17" xfId="0" applyFont="1" applyFill="1" applyBorder="1" applyAlignment="1">
      <alignment horizontal="center" vertical="center" wrapText="1"/>
    </xf>
    <xf numFmtId="0" fontId="1" fillId="3" borderId="15" xfId="0" applyFont="1" applyFill="1" applyBorder="1" applyAlignment="1">
      <alignment horizontal="center" vertical="center" wrapText="1"/>
    </xf>
    <xf numFmtId="0" fontId="1" fillId="3" borderId="10" xfId="0" applyFont="1" applyFill="1" applyBorder="1" applyAlignment="1">
      <alignment horizontal="center" vertical="center" wrapText="1"/>
    </xf>
    <xf numFmtId="0" fontId="7" fillId="3" borderId="41" xfId="0" applyFont="1" applyFill="1" applyBorder="1" applyAlignment="1">
      <alignment horizontal="center" vertical="center" wrapText="1" readingOrder="1"/>
    </xf>
    <xf numFmtId="0" fontId="1" fillId="3" borderId="36" xfId="0" applyFont="1" applyFill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/>
    </xf>
    <xf numFmtId="0" fontId="4" fillId="0" borderId="41" xfId="0" applyFont="1" applyBorder="1" applyAlignment="1">
      <alignment horizontal="center" vertical="center" wrapText="1" readingOrder="1"/>
    </xf>
    <xf numFmtId="0" fontId="1" fillId="0" borderId="5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19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49" fontId="4" fillId="3" borderId="5" xfId="0" applyNumberFormat="1" applyFont="1" applyFill="1" applyBorder="1" applyAlignment="1">
      <alignment horizontal="center" vertical="center" wrapText="1"/>
    </xf>
    <xf numFmtId="49" fontId="4" fillId="3" borderId="9" xfId="0" applyNumberFormat="1" applyFont="1" applyFill="1" applyBorder="1" applyAlignment="1">
      <alignment horizontal="center" vertical="center" wrapText="1"/>
    </xf>
    <xf numFmtId="49" fontId="4" fillId="3" borderId="13" xfId="0" applyNumberFormat="1" applyFont="1" applyFill="1" applyBorder="1" applyAlignment="1">
      <alignment horizontal="center" vertical="center" wrapText="1"/>
    </xf>
    <xf numFmtId="2" fontId="4" fillId="0" borderId="5" xfId="0" applyNumberFormat="1" applyFont="1" applyBorder="1" applyAlignment="1">
      <alignment horizontal="center" vertical="center" wrapText="1"/>
    </xf>
    <xf numFmtId="2" fontId="4" fillId="0" borderId="9" xfId="0" applyNumberFormat="1" applyFont="1" applyBorder="1" applyAlignment="1">
      <alignment horizontal="center" vertical="center" wrapText="1"/>
    </xf>
    <xf numFmtId="2" fontId="4" fillId="0" borderId="13" xfId="0" applyNumberFormat="1" applyFont="1" applyBorder="1" applyAlignment="1">
      <alignment horizontal="center" vertical="center" wrapText="1"/>
    </xf>
    <xf numFmtId="0" fontId="4" fillId="0" borderId="14" xfId="0" applyFont="1" applyBorder="1" applyAlignment="1">
      <alignment horizontal="center" vertical="center" wrapText="1"/>
    </xf>
    <xf numFmtId="49" fontId="4" fillId="3" borderId="14" xfId="0" applyNumberFormat="1" applyFont="1" applyFill="1" applyBorder="1" applyAlignment="1">
      <alignment horizontal="center" vertical="center" wrapText="1"/>
    </xf>
    <xf numFmtId="2" fontId="4" fillId="0" borderId="14" xfId="0" applyNumberFormat="1" applyFont="1" applyBorder="1" applyAlignment="1">
      <alignment horizontal="center" vertical="center" wrapText="1"/>
    </xf>
    <xf numFmtId="0" fontId="4" fillId="4" borderId="5" xfId="0" applyFont="1" applyFill="1" applyBorder="1" applyAlignment="1">
      <alignment horizontal="center" vertical="center" wrapText="1"/>
    </xf>
    <xf numFmtId="0" fontId="4" fillId="4" borderId="9" xfId="0" applyFont="1" applyFill="1" applyBorder="1" applyAlignment="1">
      <alignment horizontal="center" vertical="center" wrapText="1"/>
    </xf>
    <xf numFmtId="0" fontId="4" fillId="4" borderId="13" xfId="0" applyFont="1" applyFill="1" applyBorder="1" applyAlignment="1">
      <alignment horizontal="center" vertical="center" wrapText="1"/>
    </xf>
    <xf numFmtId="0" fontId="4" fillId="4" borderId="14" xfId="0" applyFont="1" applyFill="1" applyBorder="1" applyAlignment="1">
      <alignment horizontal="center" vertical="center" wrapText="1"/>
    </xf>
    <xf numFmtId="0" fontId="4" fillId="3" borderId="5" xfId="0" applyFont="1" applyFill="1" applyBorder="1" applyAlignment="1">
      <alignment horizontal="center" vertical="center" wrapText="1"/>
    </xf>
    <xf numFmtId="0" fontId="4" fillId="3" borderId="9" xfId="0" applyFont="1" applyFill="1" applyBorder="1" applyAlignment="1">
      <alignment horizontal="center" vertical="center" wrapText="1"/>
    </xf>
    <xf numFmtId="0" fontId="4" fillId="3" borderId="13" xfId="0" applyFont="1" applyFill="1" applyBorder="1" applyAlignment="1">
      <alignment horizontal="center" vertical="center" wrapText="1"/>
    </xf>
    <xf numFmtId="0" fontId="5" fillId="0" borderId="20" xfId="0" applyFont="1" applyBorder="1" applyAlignment="1">
      <alignment horizontal="left" vertical="top"/>
    </xf>
    <xf numFmtId="0" fontId="5" fillId="0" borderId="21" xfId="0" applyFont="1" applyBorder="1" applyAlignment="1">
      <alignment horizontal="left" vertical="top"/>
    </xf>
    <xf numFmtId="0" fontId="5" fillId="0" borderId="22" xfId="0" applyFont="1" applyBorder="1" applyAlignment="1">
      <alignment horizontal="left" vertical="top"/>
    </xf>
    <xf numFmtId="0" fontId="4" fillId="3" borderId="14" xfId="0" applyFont="1" applyFill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 vertical="center"/>
    </xf>
    <xf numFmtId="0" fontId="6" fillId="0" borderId="20" xfId="0" applyFont="1" applyBorder="1" applyAlignment="1">
      <alignment horizontal="right" vertical="center"/>
    </xf>
    <xf numFmtId="0" fontId="6" fillId="0" borderId="21" xfId="0" applyFont="1" applyBorder="1" applyAlignment="1">
      <alignment horizontal="right" vertical="center"/>
    </xf>
    <xf numFmtId="0" fontId="6" fillId="0" borderId="22" xfId="0" applyFont="1" applyBorder="1" applyAlignment="1">
      <alignment horizontal="right" vertical="center"/>
    </xf>
    <xf numFmtId="0" fontId="1" fillId="0" borderId="9" xfId="0" applyFont="1" applyBorder="1" applyAlignment="1">
      <alignment horizontal="center" vertical="center"/>
    </xf>
    <xf numFmtId="0" fontId="4" fillId="4" borderId="5" xfId="0" applyFont="1" applyFill="1" applyBorder="1" applyAlignment="1">
      <alignment horizontal="center" vertical="center"/>
    </xf>
    <xf numFmtId="0" fontId="4" fillId="4" borderId="13" xfId="0" applyFont="1" applyFill="1" applyBorder="1" applyAlignment="1">
      <alignment horizontal="center" vertical="center"/>
    </xf>
    <xf numFmtId="0" fontId="6" fillId="0" borderId="43" xfId="0" applyFont="1" applyBorder="1" applyAlignment="1">
      <alignment horizontal="right" vertical="center"/>
    </xf>
    <xf numFmtId="0" fontId="4" fillId="0" borderId="5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0" fontId="4" fillId="3" borderId="13" xfId="0" applyFont="1" applyFill="1" applyBorder="1" applyAlignment="1">
      <alignment horizontal="center" vertical="center"/>
    </xf>
    <xf numFmtId="2" fontId="4" fillId="0" borderId="5" xfId="0" applyNumberFormat="1" applyFont="1" applyBorder="1" applyAlignment="1">
      <alignment horizontal="center" vertical="center"/>
    </xf>
    <xf numFmtId="2" fontId="4" fillId="0" borderId="13" xfId="0" applyNumberFormat="1" applyFont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right" vertical="center"/>
    </xf>
    <xf numFmtId="0" fontId="8" fillId="6" borderId="54" xfId="1" applyFont="1" applyFill="1" applyBorder="1" applyAlignment="1">
      <alignment horizontal="center" vertical="center"/>
    </xf>
    <xf numFmtId="0" fontId="8" fillId="6" borderId="55" xfId="1" applyFont="1" applyFill="1" applyBorder="1" applyAlignment="1">
      <alignment horizontal="center" vertical="center"/>
    </xf>
    <xf numFmtId="0" fontId="8" fillId="6" borderId="56" xfId="1" applyFont="1" applyFill="1" applyBorder="1" applyAlignment="1">
      <alignment horizontal="center" vertical="center"/>
    </xf>
    <xf numFmtId="0" fontId="4" fillId="4" borderId="41" xfId="0" applyFont="1" applyFill="1" applyBorder="1" applyAlignment="1">
      <alignment horizontal="center" vertical="center" wrapText="1" readingOrder="1"/>
    </xf>
    <xf numFmtId="0" fontId="4" fillId="4" borderId="15" xfId="0" applyFont="1" applyFill="1" applyBorder="1" applyAlignment="1">
      <alignment horizontal="center" vertical="center" wrapText="1"/>
    </xf>
    <xf numFmtId="0" fontId="4" fillId="4" borderId="10" xfId="0" applyFont="1" applyFill="1" applyBorder="1" applyAlignment="1">
      <alignment horizontal="center" vertical="center" wrapText="1"/>
    </xf>
  </cellXfs>
  <cellStyles count="2">
    <cellStyle name="Normal" xfId="0" builtinId="0"/>
    <cellStyle name="Normal 5" xfId="1" xr:uid="{FDBD562B-C1B9-4ADA-BC56-A4FE5546D53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7A616E-0FA6-490D-8413-F815389A5FEE}">
  <sheetPr>
    <pageSetUpPr fitToPage="1"/>
  </sheetPr>
  <dimension ref="B1:HU86"/>
  <sheetViews>
    <sheetView tabSelected="1" topLeftCell="A4" zoomScaleNormal="100" workbookViewId="0">
      <selection activeCell="F11" sqref="F11:F14"/>
    </sheetView>
  </sheetViews>
  <sheetFormatPr defaultColWidth="9.140625" defaultRowHeight="15" customHeight="1" x14ac:dyDescent="0.2"/>
  <cols>
    <col min="1" max="1" width="9.140625" style="4"/>
    <col min="2" max="2" width="11.42578125" style="1" customWidth="1"/>
    <col min="3" max="3" width="25.7109375" style="2" customWidth="1"/>
    <col min="4" max="4" width="46.42578125" style="1" customWidth="1"/>
    <col min="5" max="5" width="15.28515625" style="1" customWidth="1"/>
    <col min="6" max="7" width="16.140625" style="1" customWidth="1"/>
    <col min="8" max="8" width="11.42578125" style="4" customWidth="1"/>
    <col min="9" max="9" width="11.42578125" style="5" customWidth="1"/>
    <col min="10" max="10" width="11.42578125" style="6" customWidth="1"/>
    <col min="11" max="15" width="9.140625" style="4" customWidth="1"/>
    <col min="16" max="16384" width="9.140625" style="4"/>
  </cols>
  <sheetData>
    <row r="1" spans="2:12" ht="15" customHeight="1" x14ac:dyDescent="0.2">
      <c r="F1" s="3"/>
      <c r="G1" s="3"/>
    </row>
    <row r="3" spans="2:12" ht="15" customHeight="1" x14ac:dyDescent="0.2">
      <c r="B3" s="203" t="s">
        <v>0</v>
      </c>
      <c r="C3" s="203"/>
      <c r="D3" s="203"/>
      <c r="E3" s="203"/>
      <c r="F3" s="203"/>
      <c r="G3" s="203"/>
      <c r="H3" s="203"/>
      <c r="I3" s="203"/>
      <c r="J3" s="203"/>
      <c r="K3" s="203"/>
      <c r="L3" s="203"/>
    </row>
    <row r="4" spans="2:12" ht="15" customHeight="1" x14ac:dyDescent="0.2">
      <c r="B4" s="204" t="s">
        <v>1</v>
      </c>
      <c r="C4" s="204"/>
      <c r="D4" s="204"/>
      <c r="E4" s="204"/>
      <c r="F4" s="204"/>
      <c r="G4" s="204"/>
      <c r="H4" s="204"/>
      <c r="I4" s="204"/>
      <c r="J4" s="204"/>
      <c r="K4" s="204"/>
      <c r="L4" s="204"/>
    </row>
    <row r="5" spans="2:12" ht="15" customHeight="1" x14ac:dyDescent="0.2">
      <c r="B5" s="204" t="s">
        <v>2</v>
      </c>
      <c r="C5" s="204"/>
      <c r="D5" s="204"/>
      <c r="E5" s="204"/>
      <c r="F5" s="204"/>
      <c r="G5" s="204"/>
      <c r="H5" s="204"/>
      <c r="I5" s="204"/>
      <c r="J5" s="204"/>
      <c r="K5" s="204"/>
      <c r="L5" s="204"/>
    </row>
    <row r="6" spans="2:12" ht="15" customHeight="1" thickBot="1" x14ac:dyDescent="0.25"/>
    <row r="7" spans="2:12" ht="15" customHeight="1" thickBot="1" x14ac:dyDescent="0.25">
      <c r="B7" s="7" t="s">
        <v>3</v>
      </c>
      <c r="C7" s="8" t="s">
        <v>4</v>
      </c>
      <c r="D7" s="9" t="s">
        <v>5</v>
      </c>
      <c r="E7" s="8" t="s">
        <v>6</v>
      </c>
      <c r="F7" s="10" t="s">
        <v>7</v>
      </c>
      <c r="G7" s="10"/>
      <c r="H7" s="10" t="s">
        <v>8</v>
      </c>
      <c r="I7" s="11"/>
      <c r="J7" s="10" t="s">
        <v>164</v>
      </c>
      <c r="K7" s="10" t="s">
        <v>9</v>
      </c>
      <c r="L7" s="10" t="s">
        <v>9</v>
      </c>
    </row>
    <row r="8" spans="2:12" ht="15" customHeight="1" x14ac:dyDescent="0.2">
      <c r="B8" s="162" t="s">
        <v>10</v>
      </c>
      <c r="C8" s="12" t="s">
        <v>11</v>
      </c>
      <c r="D8" s="13" t="s">
        <v>12</v>
      </c>
      <c r="E8" s="14" t="s">
        <v>13</v>
      </c>
      <c r="F8" s="165">
        <v>2</v>
      </c>
      <c r="G8" s="165">
        <f>4*F8</f>
        <v>8</v>
      </c>
      <c r="H8" s="168" t="s">
        <v>14</v>
      </c>
      <c r="I8" s="171">
        <f>IF(H8&lt;&gt;"",HLOOKUP(H8,'GPA Table'!B5:M8,2,FALSE ),"")</f>
        <v>4</v>
      </c>
      <c r="J8" s="165">
        <f>I8*F8</f>
        <v>8</v>
      </c>
      <c r="K8" s="177"/>
      <c r="L8" s="177"/>
    </row>
    <row r="9" spans="2:12" ht="15" customHeight="1" x14ac:dyDescent="0.2">
      <c r="B9" s="163"/>
      <c r="C9" s="15" t="s">
        <v>15</v>
      </c>
      <c r="D9" s="16" t="s">
        <v>16</v>
      </c>
      <c r="E9" s="17" t="s">
        <v>13</v>
      </c>
      <c r="F9" s="166"/>
      <c r="G9" s="166"/>
      <c r="H9" s="169"/>
      <c r="I9" s="172"/>
      <c r="J9" s="166"/>
      <c r="K9" s="178"/>
      <c r="L9" s="178"/>
    </row>
    <row r="10" spans="2:12" ht="15" customHeight="1" x14ac:dyDescent="0.2">
      <c r="B10" s="163"/>
      <c r="C10" s="15" t="s">
        <v>17</v>
      </c>
      <c r="D10" s="16" t="s">
        <v>18</v>
      </c>
      <c r="E10" s="17" t="s">
        <v>13</v>
      </c>
      <c r="F10" s="167"/>
      <c r="G10" s="167"/>
      <c r="H10" s="170"/>
      <c r="I10" s="173"/>
      <c r="J10" s="167"/>
      <c r="K10" s="179"/>
      <c r="L10" s="179"/>
    </row>
    <row r="11" spans="2:12" ht="15" customHeight="1" x14ac:dyDescent="0.2">
      <c r="B11" s="163"/>
      <c r="C11" s="15" t="s">
        <v>19</v>
      </c>
      <c r="D11" s="16" t="s">
        <v>20</v>
      </c>
      <c r="E11" s="17" t="s">
        <v>13</v>
      </c>
      <c r="F11" s="174">
        <v>2</v>
      </c>
      <c r="G11" s="174">
        <f>4*F11</f>
        <v>8</v>
      </c>
      <c r="H11" s="175" t="s">
        <v>14</v>
      </c>
      <c r="I11" s="176">
        <f>IF(H11&lt;&gt;"",HLOOKUP(H11,'GPA Table'!$B$5:$M$8,2,FALSE ),"")</f>
        <v>4</v>
      </c>
      <c r="J11" s="174">
        <f>I11*F11</f>
        <v>8</v>
      </c>
      <c r="K11" s="180"/>
      <c r="L11" s="180"/>
    </row>
    <row r="12" spans="2:12" ht="15" customHeight="1" x14ac:dyDescent="0.2">
      <c r="B12" s="163"/>
      <c r="C12" s="15" t="s">
        <v>21</v>
      </c>
      <c r="D12" s="16" t="s">
        <v>22</v>
      </c>
      <c r="E12" s="17" t="s">
        <v>13</v>
      </c>
      <c r="F12" s="166"/>
      <c r="G12" s="166"/>
      <c r="H12" s="169"/>
      <c r="I12" s="172"/>
      <c r="J12" s="166"/>
      <c r="K12" s="178"/>
      <c r="L12" s="178"/>
    </row>
    <row r="13" spans="2:12" ht="15" customHeight="1" x14ac:dyDescent="0.2">
      <c r="B13" s="163"/>
      <c r="C13" s="15" t="s">
        <v>23</v>
      </c>
      <c r="D13" s="16" t="s">
        <v>24</v>
      </c>
      <c r="E13" s="17" t="s">
        <v>13</v>
      </c>
      <c r="F13" s="166"/>
      <c r="G13" s="166"/>
      <c r="H13" s="169"/>
      <c r="I13" s="172"/>
      <c r="J13" s="166"/>
      <c r="K13" s="178"/>
      <c r="L13" s="178"/>
    </row>
    <row r="14" spans="2:12" ht="15" customHeight="1" x14ac:dyDescent="0.2">
      <c r="B14" s="163"/>
      <c r="C14" s="15" t="s">
        <v>25</v>
      </c>
      <c r="D14" s="16" t="s">
        <v>26</v>
      </c>
      <c r="E14" s="17" t="s">
        <v>13</v>
      </c>
      <c r="F14" s="167"/>
      <c r="G14" s="167"/>
      <c r="H14" s="170"/>
      <c r="I14" s="173"/>
      <c r="J14" s="167"/>
      <c r="K14" s="179"/>
      <c r="L14" s="179"/>
    </row>
    <row r="15" spans="2:12" ht="15" customHeight="1" x14ac:dyDescent="0.2">
      <c r="B15" s="163"/>
      <c r="C15" s="18" t="s">
        <v>27</v>
      </c>
      <c r="D15" s="19" t="s">
        <v>28</v>
      </c>
      <c r="E15" s="17" t="s">
        <v>29</v>
      </c>
      <c r="F15" s="174">
        <v>2</v>
      </c>
      <c r="G15" s="174">
        <f>4*F15</f>
        <v>8</v>
      </c>
      <c r="H15" s="175" t="s">
        <v>14</v>
      </c>
      <c r="I15" s="176">
        <f>IF(H15&lt;&gt;"",HLOOKUP(H15,'GPA Table'!$B$5:$M$8,2,FALSE ),"")</f>
        <v>4</v>
      </c>
      <c r="J15" s="174">
        <f>I15*F15</f>
        <v>8</v>
      </c>
      <c r="K15" s="180"/>
      <c r="L15" s="180"/>
    </row>
    <row r="16" spans="2:12" ht="15" customHeight="1" x14ac:dyDescent="0.2">
      <c r="B16" s="163"/>
      <c r="C16" s="15" t="s">
        <v>30</v>
      </c>
      <c r="D16" s="20" t="s">
        <v>31</v>
      </c>
      <c r="E16" s="17" t="s">
        <v>29</v>
      </c>
      <c r="F16" s="167"/>
      <c r="G16" s="167"/>
      <c r="H16" s="170"/>
      <c r="I16" s="173"/>
      <c r="J16" s="167"/>
      <c r="K16" s="179"/>
      <c r="L16" s="179"/>
    </row>
    <row r="17" spans="2:12" ht="15" customHeight="1" x14ac:dyDescent="0.2">
      <c r="B17" s="163"/>
      <c r="C17" s="15" t="s">
        <v>32</v>
      </c>
      <c r="D17" s="21" t="s">
        <v>33</v>
      </c>
      <c r="E17" s="17" t="s">
        <v>29</v>
      </c>
      <c r="F17" s="22"/>
      <c r="G17" s="22">
        <f>4*F17</f>
        <v>0</v>
      </c>
      <c r="H17" s="23" t="s">
        <v>14</v>
      </c>
      <c r="I17" s="24">
        <f>IF(H17&lt;&gt;"",HLOOKUP(H17,'GPA Table'!$B$5:$M$8,2,FALSE ),"")</f>
        <v>4</v>
      </c>
      <c r="J17" s="22">
        <f>I17*F17</f>
        <v>0</v>
      </c>
      <c r="K17" s="25"/>
      <c r="L17" s="25"/>
    </row>
    <row r="18" spans="2:12" ht="15" customHeight="1" x14ac:dyDescent="0.2">
      <c r="B18" s="163"/>
      <c r="C18" s="18" t="s">
        <v>34</v>
      </c>
      <c r="D18" s="19" t="s">
        <v>35</v>
      </c>
      <c r="E18" s="17" t="s">
        <v>13</v>
      </c>
      <c r="F18" s="26">
        <v>3</v>
      </c>
      <c r="G18" s="22">
        <f t="shared" ref="G18:G20" si="0">4*F18</f>
        <v>12</v>
      </c>
      <c r="H18" s="27" t="s">
        <v>14</v>
      </c>
      <c r="I18" s="24">
        <f>IF(H18&lt;&gt;"",HLOOKUP(H18,'GPA Table'!$B$5:$M$8,2,FALSE ),"")</f>
        <v>4</v>
      </c>
      <c r="J18" s="22">
        <f t="shared" ref="J18:J20" si="1">I18*F18</f>
        <v>12</v>
      </c>
      <c r="K18" s="25"/>
      <c r="L18" s="25"/>
    </row>
    <row r="19" spans="2:12" ht="15" customHeight="1" x14ac:dyDescent="0.2">
      <c r="B19" s="163"/>
      <c r="C19" s="18" t="s">
        <v>36</v>
      </c>
      <c r="D19" s="19" t="s">
        <v>37</v>
      </c>
      <c r="E19" s="17" t="s">
        <v>13</v>
      </c>
      <c r="F19" s="26">
        <v>3</v>
      </c>
      <c r="G19" s="22">
        <f t="shared" si="0"/>
        <v>12</v>
      </c>
      <c r="H19" s="27" t="s">
        <v>14</v>
      </c>
      <c r="I19" s="24">
        <f>IF(H19&lt;&gt;"",HLOOKUP(H19,'GPA Table'!$B$5:$M$8,2,FALSE ),"")</f>
        <v>4</v>
      </c>
      <c r="J19" s="22">
        <f t="shared" si="1"/>
        <v>12</v>
      </c>
      <c r="K19" s="25"/>
      <c r="L19" s="25"/>
    </row>
    <row r="20" spans="2:12" ht="15" customHeight="1" thickBot="1" x14ac:dyDescent="0.25">
      <c r="B20" s="163"/>
      <c r="C20" s="28" t="s">
        <v>38</v>
      </c>
      <c r="D20" s="29" t="s">
        <v>39</v>
      </c>
      <c r="E20" s="30" t="s">
        <v>13</v>
      </c>
      <c r="F20" s="26">
        <v>3</v>
      </c>
      <c r="G20" s="22">
        <f t="shared" si="0"/>
        <v>12</v>
      </c>
      <c r="H20" s="27" t="s">
        <v>14</v>
      </c>
      <c r="I20" s="24">
        <f>IF(H20&lt;&gt;"",HLOOKUP(H20,'GPA Table'!$B$5:$M$8,2,FALSE ),"")</f>
        <v>4</v>
      </c>
      <c r="J20" s="22">
        <f t="shared" si="1"/>
        <v>12</v>
      </c>
      <c r="K20" s="25"/>
      <c r="L20" s="25"/>
    </row>
    <row r="21" spans="2:12" ht="15" customHeight="1" thickTop="1" thickBot="1" x14ac:dyDescent="0.25">
      <c r="B21" s="164"/>
      <c r="C21" s="184" t="s">
        <v>40</v>
      </c>
      <c r="D21" s="185"/>
      <c r="E21" s="186"/>
      <c r="F21" s="31">
        <f>SUM(F8:F20)</f>
        <v>15</v>
      </c>
      <c r="G21" s="31">
        <f>SUM(G8:G20)</f>
        <v>60</v>
      </c>
      <c r="H21" s="32"/>
      <c r="I21" s="33">
        <f>SUM(I8:I20)</f>
        <v>28</v>
      </c>
      <c r="J21" s="31">
        <f>SUM(J8:J20)</f>
        <v>60</v>
      </c>
      <c r="K21" s="31">
        <f>J21/G21*4</f>
        <v>4</v>
      </c>
      <c r="L21" s="31">
        <f>K21</f>
        <v>4</v>
      </c>
    </row>
    <row r="22" spans="2:12" ht="15" customHeight="1" x14ac:dyDescent="0.2">
      <c r="B22" s="162" t="s">
        <v>41</v>
      </c>
      <c r="C22" s="12" t="s">
        <v>15</v>
      </c>
      <c r="D22" s="13" t="s">
        <v>16</v>
      </c>
      <c r="E22" s="34" t="s">
        <v>13</v>
      </c>
      <c r="F22" s="165">
        <v>2</v>
      </c>
      <c r="G22" s="165">
        <f>F22*4</f>
        <v>8</v>
      </c>
      <c r="H22" s="181" t="s">
        <v>14</v>
      </c>
      <c r="I22" s="171">
        <f>IF(H22&lt;&gt;"",HLOOKUP(H22,'GPA Table'!$B$5:$M$8,2,FALSE ),"")</f>
        <v>4</v>
      </c>
      <c r="J22" s="165">
        <f>I22*F22</f>
        <v>8</v>
      </c>
      <c r="K22" s="177"/>
      <c r="L22" s="177"/>
    </row>
    <row r="23" spans="2:12" ht="15" customHeight="1" x14ac:dyDescent="0.2">
      <c r="B23" s="163"/>
      <c r="C23" s="15" t="s">
        <v>17</v>
      </c>
      <c r="D23" s="16" t="s">
        <v>18</v>
      </c>
      <c r="E23" s="35" t="s">
        <v>13</v>
      </c>
      <c r="F23" s="166"/>
      <c r="G23" s="166"/>
      <c r="H23" s="182"/>
      <c r="I23" s="172"/>
      <c r="J23" s="166"/>
      <c r="K23" s="178"/>
      <c r="L23" s="178"/>
    </row>
    <row r="24" spans="2:12" ht="15" customHeight="1" x14ac:dyDescent="0.2">
      <c r="B24" s="163"/>
      <c r="C24" s="36" t="s">
        <v>42</v>
      </c>
      <c r="D24" s="37" t="s">
        <v>43</v>
      </c>
      <c r="E24" s="35" t="s">
        <v>13</v>
      </c>
      <c r="F24" s="167"/>
      <c r="G24" s="167"/>
      <c r="H24" s="183"/>
      <c r="I24" s="173"/>
      <c r="J24" s="167"/>
      <c r="K24" s="179"/>
      <c r="L24" s="179"/>
    </row>
    <row r="25" spans="2:12" ht="15" customHeight="1" x14ac:dyDescent="0.2">
      <c r="B25" s="163"/>
      <c r="C25" s="15" t="s">
        <v>21</v>
      </c>
      <c r="D25" s="16" t="s">
        <v>22</v>
      </c>
      <c r="E25" s="38" t="s">
        <v>13</v>
      </c>
      <c r="F25" s="174">
        <v>2</v>
      </c>
      <c r="G25" s="166">
        <f>F25*4</f>
        <v>8</v>
      </c>
      <c r="H25" s="187" t="s">
        <v>14</v>
      </c>
      <c r="I25" s="172">
        <f>IF(H25&lt;&gt;"",HLOOKUP(H25,'GPA Table'!$B$5:$M$8,2,FALSE ),"")</f>
        <v>4</v>
      </c>
      <c r="J25" s="166">
        <f>I25*F25</f>
        <v>8</v>
      </c>
      <c r="K25" s="180"/>
      <c r="L25" s="180"/>
    </row>
    <row r="26" spans="2:12" ht="15" customHeight="1" x14ac:dyDescent="0.2">
      <c r="B26" s="163"/>
      <c r="C26" s="15" t="s">
        <v>44</v>
      </c>
      <c r="D26" s="16" t="s">
        <v>45</v>
      </c>
      <c r="E26" s="38" t="s">
        <v>13</v>
      </c>
      <c r="F26" s="166"/>
      <c r="G26" s="166"/>
      <c r="H26" s="182"/>
      <c r="I26" s="172"/>
      <c r="J26" s="166"/>
      <c r="K26" s="178"/>
      <c r="L26" s="178"/>
    </row>
    <row r="27" spans="2:12" ht="15" customHeight="1" x14ac:dyDescent="0.2">
      <c r="B27" s="163"/>
      <c r="C27" s="15" t="s">
        <v>25</v>
      </c>
      <c r="D27" s="16" t="s">
        <v>26</v>
      </c>
      <c r="E27" s="38" t="s">
        <v>13</v>
      </c>
      <c r="F27" s="167"/>
      <c r="G27" s="167"/>
      <c r="H27" s="183"/>
      <c r="I27" s="173"/>
      <c r="J27" s="167"/>
      <c r="K27" s="179"/>
      <c r="L27" s="179"/>
    </row>
    <row r="28" spans="2:12" ht="15" customHeight="1" x14ac:dyDescent="0.2">
      <c r="B28" s="163"/>
      <c r="C28" s="39" t="s">
        <v>46</v>
      </c>
      <c r="D28" s="40" t="s">
        <v>47</v>
      </c>
      <c r="E28" s="38" t="s">
        <v>29</v>
      </c>
      <c r="F28" s="174">
        <v>2</v>
      </c>
      <c r="G28" s="174">
        <f>F28*4</f>
        <v>8</v>
      </c>
      <c r="H28" s="187" t="s">
        <v>14</v>
      </c>
      <c r="I28" s="176">
        <f>IF(H28&lt;&gt;"",HLOOKUP(H28,'GPA Table'!$B$5:$M$8,2,FALSE ),"")</f>
        <v>4</v>
      </c>
      <c r="J28" s="174">
        <f>I28*F28</f>
        <v>8</v>
      </c>
      <c r="K28" s="180"/>
      <c r="L28" s="180"/>
    </row>
    <row r="29" spans="2:12" ht="15" customHeight="1" x14ac:dyDescent="0.2">
      <c r="B29" s="163"/>
      <c r="C29" s="39" t="s">
        <v>48</v>
      </c>
      <c r="D29" s="40" t="s">
        <v>49</v>
      </c>
      <c r="E29" s="35" t="s">
        <v>29</v>
      </c>
      <c r="F29" s="167"/>
      <c r="G29" s="167"/>
      <c r="H29" s="183"/>
      <c r="I29" s="173"/>
      <c r="J29" s="167"/>
      <c r="K29" s="179"/>
      <c r="L29" s="179"/>
    </row>
    <row r="30" spans="2:12" ht="15" customHeight="1" x14ac:dyDescent="0.2">
      <c r="B30" s="163"/>
      <c r="C30" s="15" t="s">
        <v>50</v>
      </c>
      <c r="D30" s="41" t="s">
        <v>51</v>
      </c>
      <c r="E30" s="38" t="s">
        <v>13</v>
      </c>
      <c r="F30" s="22">
        <v>3</v>
      </c>
      <c r="G30" s="22">
        <f>F30*4</f>
        <v>12</v>
      </c>
      <c r="H30" s="42" t="s">
        <v>14</v>
      </c>
      <c r="I30" s="24">
        <f>IF(H30&lt;&gt;"",HLOOKUP(H30,'GPA Table'!$B$5:$M$8,2,FALSE ),"")</f>
        <v>4</v>
      </c>
      <c r="J30" s="22">
        <f>I30*F30</f>
        <v>12</v>
      </c>
      <c r="K30" s="25"/>
      <c r="L30" s="25"/>
    </row>
    <row r="31" spans="2:12" ht="15" customHeight="1" x14ac:dyDescent="0.2">
      <c r="B31" s="163"/>
      <c r="C31" s="15" t="s">
        <v>52</v>
      </c>
      <c r="D31" s="43" t="s">
        <v>53</v>
      </c>
      <c r="E31" s="38" t="s">
        <v>13</v>
      </c>
      <c r="F31" s="22">
        <v>3</v>
      </c>
      <c r="G31" s="22">
        <f t="shared" ref="G31:G33" si="2">F31*4</f>
        <v>12</v>
      </c>
      <c r="H31" s="42" t="s">
        <v>14</v>
      </c>
      <c r="I31" s="24">
        <f>IF(H31&lt;&gt;"",HLOOKUP(H31,'GPA Table'!$B$5:$M$8,2,FALSE ),"")</f>
        <v>4</v>
      </c>
      <c r="J31" s="22">
        <f t="shared" ref="J31:J33" si="3">I31*F31</f>
        <v>12</v>
      </c>
      <c r="K31" s="25"/>
      <c r="L31" s="25"/>
    </row>
    <row r="32" spans="2:12" ht="15" customHeight="1" x14ac:dyDescent="0.2">
      <c r="B32" s="163"/>
      <c r="C32" s="44" t="s">
        <v>54</v>
      </c>
      <c r="D32" s="45" t="s">
        <v>55</v>
      </c>
      <c r="E32" s="46" t="s">
        <v>13</v>
      </c>
      <c r="F32" s="47">
        <v>3</v>
      </c>
      <c r="G32" s="22">
        <f t="shared" si="2"/>
        <v>12</v>
      </c>
      <c r="H32" s="48" t="s">
        <v>14</v>
      </c>
      <c r="I32" s="24">
        <f>IF(H32&lt;&gt;"",HLOOKUP(H32,'GPA Table'!$B$5:$M$8,2,FALSE ),"")</f>
        <v>4</v>
      </c>
      <c r="J32" s="22">
        <f t="shared" si="3"/>
        <v>12</v>
      </c>
      <c r="K32" s="49"/>
      <c r="L32" s="49"/>
    </row>
    <row r="33" spans="2:229" ht="15" customHeight="1" thickBot="1" x14ac:dyDescent="0.25">
      <c r="B33" s="163"/>
      <c r="C33" s="50" t="s">
        <v>56</v>
      </c>
      <c r="D33" s="51" t="s">
        <v>57</v>
      </c>
      <c r="E33" s="52" t="s">
        <v>13</v>
      </c>
      <c r="F33" s="53">
        <v>3</v>
      </c>
      <c r="G33" s="22">
        <f t="shared" si="2"/>
        <v>12</v>
      </c>
      <c r="H33" s="54" t="s">
        <v>14</v>
      </c>
      <c r="I33" s="24">
        <f>IF(H33&lt;&gt;"",HLOOKUP(H33,'GPA Table'!$B$5:$M$8,2,FALSE ),"")</f>
        <v>4</v>
      </c>
      <c r="J33" s="22">
        <f t="shared" si="3"/>
        <v>12</v>
      </c>
      <c r="K33" s="55"/>
      <c r="L33" s="55"/>
    </row>
    <row r="34" spans="2:229" ht="15" customHeight="1" thickTop="1" thickBot="1" x14ac:dyDescent="0.25">
      <c r="B34" s="164"/>
      <c r="C34" s="184" t="s">
        <v>40</v>
      </c>
      <c r="D34" s="185"/>
      <c r="E34" s="186"/>
      <c r="F34" s="31">
        <f>SUM(F22:F33)</f>
        <v>18</v>
      </c>
      <c r="G34" s="31">
        <f>SUM(G22:G33)</f>
        <v>72</v>
      </c>
      <c r="H34" s="32"/>
      <c r="I34" s="33">
        <f>SUM(I22:I33)</f>
        <v>28</v>
      </c>
      <c r="J34" s="31">
        <f>SUM(J22:J33)</f>
        <v>72</v>
      </c>
      <c r="K34" s="31">
        <f>J34/G34*4</f>
        <v>4</v>
      </c>
      <c r="L34" s="31">
        <f>(K34+K21)/2</f>
        <v>4</v>
      </c>
    </row>
    <row r="35" spans="2:229" ht="15" customHeight="1" x14ac:dyDescent="0.2">
      <c r="B35" s="162" t="s">
        <v>58</v>
      </c>
      <c r="C35" s="12" t="s">
        <v>44</v>
      </c>
      <c r="D35" s="13" t="s">
        <v>45</v>
      </c>
      <c r="E35" s="34" t="s">
        <v>13</v>
      </c>
      <c r="F35" s="197">
        <v>2</v>
      </c>
      <c r="G35" s="197">
        <f>F35*4</f>
        <v>8</v>
      </c>
      <c r="H35" s="199" t="s">
        <v>14</v>
      </c>
      <c r="I35" s="201">
        <f>IF(H35&lt;&gt;"",HLOOKUP(H35,'GPA Table'!$B$5:$M$8,2,FALSE ),"")</f>
        <v>4</v>
      </c>
      <c r="J35" s="197">
        <f>I35*F35</f>
        <v>8</v>
      </c>
      <c r="K35" s="194"/>
      <c r="L35" s="194"/>
    </row>
    <row r="36" spans="2:229" ht="15" customHeight="1" x14ac:dyDescent="0.2">
      <c r="B36" s="163"/>
      <c r="C36" s="15" t="s">
        <v>23</v>
      </c>
      <c r="D36" s="16" t="s">
        <v>24</v>
      </c>
      <c r="E36" s="38" t="s">
        <v>13</v>
      </c>
      <c r="F36" s="198"/>
      <c r="G36" s="198"/>
      <c r="H36" s="200"/>
      <c r="I36" s="202"/>
      <c r="J36" s="198"/>
      <c r="K36" s="195"/>
      <c r="L36" s="195"/>
    </row>
    <row r="37" spans="2:229" ht="15" customHeight="1" x14ac:dyDescent="0.2">
      <c r="B37" s="163"/>
      <c r="C37" s="36" t="s">
        <v>59</v>
      </c>
      <c r="D37" s="41" t="s">
        <v>60</v>
      </c>
      <c r="E37" s="38" t="s">
        <v>13</v>
      </c>
      <c r="F37" s="22">
        <v>3</v>
      </c>
      <c r="G37" s="22">
        <f>F37*4</f>
        <v>12</v>
      </c>
      <c r="H37" s="42" t="s">
        <v>14</v>
      </c>
      <c r="I37" s="24">
        <f>IF(H37&lt;&gt;"",HLOOKUP(H37,'GPA Table'!$B$5:$M$8,2,FALSE ),"")</f>
        <v>4</v>
      </c>
      <c r="J37" s="22">
        <f>I37*F37</f>
        <v>12</v>
      </c>
      <c r="K37" s="25"/>
      <c r="L37" s="25"/>
    </row>
    <row r="38" spans="2:229" ht="15" customHeight="1" x14ac:dyDescent="0.2">
      <c r="B38" s="163"/>
      <c r="C38" s="36" t="s">
        <v>61</v>
      </c>
      <c r="D38" s="41" t="s">
        <v>62</v>
      </c>
      <c r="E38" s="38" t="s">
        <v>13</v>
      </c>
      <c r="F38" s="22">
        <v>3</v>
      </c>
      <c r="G38" s="22">
        <f t="shared" ref="G38:G41" si="4">F38*4</f>
        <v>12</v>
      </c>
      <c r="H38" s="42" t="s">
        <v>14</v>
      </c>
      <c r="I38" s="24">
        <f>IF(H38&lt;&gt;"",HLOOKUP(H38,'GPA Table'!$B$5:$M$8,2,FALSE ),"")</f>
        <v>4</v>
      </c>
      <c r="J38" s="22">
        <f t="shared" ref="J38:J41" si="5">I38*F38</f>
        <v>12</v>
      </c>
      <c r="K38" s="25"/>
      <c r="L38" s="25"/>
    </row>
    <row r="39" spans="2:229" ht="15" customHeight="1" x14ac:dyDescent="0.2">
      <c r="B39" s="163"/>
      <c r="C39" s="36" t="s">
        <v>63</v>
      </c>
      <c r="D39" s="41" t="s">
        <v>64</v>
      </c>
      <c r="E39" s="38" t="s">
        <v>13</v>
      </c>
      <c r="F39" s="22">
        <v>3</v>
      </c>
      <c r="G39" s="22">
        <f t="shared" si="4"/>
        <v>12</v>
      </c>
      <c r="H39" s="42" t="s">
        <v>14</v>
      </c>
      <c r="I39" s="24">
        <f>IF(H39&lt;&gt;"",HLOOKUP(H39,'GPA Table'!$B$5:$M$8,2,FALSE ),"")</f>
        <v>4</v>
      </c>
      <c r="J39" s="22">
        <f t="shared" si="5"/>
        <v>12</v>
      </c>
      <c r="K39" s="25"/>
      <c r="L39" s="25"/>
    </row>
    <row r="40" spans="2:229" ht="15" customHeight="1" x14ac:dyDescent="0.2">
      <c r="B40" s="163"/>
      <c r="C40" s="44" t="s">
        <v>65</v>
      </c>
      <c r="D40" s="56" t="s">
        <v>66</v>
      </c>
      <c r="E40" s="57" t="s">
        <v>13</v>
      </c>
      <c r="F40" s="58">
        <v>3</v>
      </c>
      <c r="G40" s="22">
        <f t="shared" si="4"/>
        <v>12</v>
      </c>
      <c r="H40" s="59" t="s">
        <v>14</v>
      </c>
      <c r="I40" s="24">
        <f>IF(H40&lt;&gt;"",HLOOKUP(H40,'GPA Table'!$B$5:$M$8,2,FALSE ),"")</f>
        <v>4</v>
      </c>
      <c r="J40" s="22">
        <f t="shared" si="5"/>
        <v>12</v>
      </c>
      <c r="K40" s="60"/>
      <c r="L40" s="60"/>
    </row>
    <row r="41" spans="2:229" ht="15" customHeight="1" thickBot="1" x14ac:dyDescent="0.25">
      <c r="B41" s="163"/>
      <c r="C41" s="50" t="s">
        <v>67</v>
      </c>
      <c r="D41" s="51" t="s">
        <v>68</v>
      </c>
      <c r="E41" s="61" t="s">
        <v>13</v>
      </c>
      <c r="F41" s="22">
        <v>3</v>
      </c>
      <c r="G41" s="22">
        <f t="shared" si="4"/>
        <v>12</v>
      </c>
      <c r="H41" s="42" t="s">
        <v>14</v>
      </c>
      <c r="I41" s="24">
        <f>IF(H41&lt;&gt;"",HLOOKUP(H41,'GPA Table'!$B$5:$M$8,2,FALSE ),"")</f>
        <v>4</v>
      </c>
      <c r="J41" s="22">
        <f t="shared" si="5"/>
        <v>12</v>
      </c>
      <c r="K41" s="25"/>
      <c r="L41" s="25"/>
    </row>
    <row r="42" spans="2:229" ht="15" customHeight="1" thickTop="1" thickBot="1" x14ac:dyDescent="0.25">
      <c r="B42" s="164"/>
      <c r="C42" s="190"/>
      <c r="D42" s="191"/>
      <c r="E42" s="192"/>
      <c r="F42" s="62">
        <f>SUM(F35:F41)</f>
        <v>17</v>
      </c>
      <c r="G42" s="62">
        <f>SUM(G35:G41)</f>
        <v>68</v>
      </c>
      <c r="H42" s="63"/>
      <c r="I42" s="64">
        <f t="shared" ref="I42:J42" si="6">SUM(I35:I41)</f>
        <v>24</v>
      </c>
      <c r="J42" s="62">
        <f t="shared" si="6"/>
        <v>68</v>
      </c>
      <c r="K42" s="62">
        <f>J42/G42*4</f>
        <v>4</v>
      </c>
      <c r="L42" s="62">
        <f>(K34+K21+K42)/3</f>
        <v>4</v>
      </c>
    </row>
    <row r="43" spans="2:229" ht="15" customHeight="1" x14ac:dyDescent="0.2">
      <c r="B43" s="162" t="s">
        <v>69</v>
      </c>
      <c r="C43" s="12" t="s">
        <v>70</v>
      </c>
      <c r="D43" s="65" t="s">
        <v>71</v>
      </c>
      <c r="E43" s="14" t="s">
        <v>29</v>
      </c>
      <c r="F43" s="66">
        <v>2</v>
      </c>
      <c r="G43" s="160">
        <f>F43*4</f>
        <v>8</v>
      </c>
      <c r="H43" s="67" t="s">
        <v>14</v>
      </c>
      <c r="I43" s="68">
        <f>IF(H43&lt;&gt;"",HLOOKUP(H43,'GPA Table'!$B$5:$M$8,2,FALSE ),"")</f>
        <v>4</v>
      </c>
      <c r="J43" s="66">
        <f>I43*F43</f>
        <v>8</v>
      </c>
      <c r="K43" s="69"/>
      <c r="L43" s="69"/>
    </row>
    <row r="44" spans="2:229" ht="15" customHeight="1" x14ac:dyDescent="0.2">
      <c r="B44" s="163"/>
      <c r="C44" s="15" t="s">
        <v>72</v>
      </c>
      <c r="D44" s="20" t="s">
        <v>73</v>
      </c>
      <c r="E44" s="38" t="s">
        <v>29</v>
      </c>
      <c r="F44" s="22">
        <v>2</v>
      </c>
      <c r="G44" s="15">
        <f>F44*4</f>
        <v>8</v>
      </c>
      <c r="H44" s="70" t="s">
        <v>14</v>
      </c>
      <c r="I44" s="71">
        <f>IF(H44&lt;&gt;"",HLOOKUP(H44,'GPA Table'!$B$5:$M$8,2,FALSE ),"")</f>
        <v>4</v>
      </c>
      <c r="J44" s="72">
        <f t="shared" ref="J44:J49" si="7">I44*F44</f>
        <v>8</v>
      </c>
      <c r="K44" s="73"/>
      <c r="L44" s="73"/>
    </row>
    <row r="45" spans="2:229" s="6" customFormat="1" ht="15" customHeight="1" x14ac:dyDescent="0.2">
      <c r="B45" s="163"/>
      <c r="C45" s="15" t="s">
        <v>74</v>
      </c>
      <c r="D45" s="16" t="s">
        <v>75</v>
      </c>
      <c r="E45" s="17" t="s">
        <v>29</v>
      </c>
      <c r="F45" s="72">
        <v>2</v>
      </c>
      <c r="G45" s="15">
        <f t="shared" ref="G45:G49" si="8">F45*4</f>
        <v>8</v>
      </c>
      <c r="H45" s="74" t="s">
        <v>14</v>
      </c>
      <c r="I45" s="71">
        <f>IF(H45&lt;&gt;"",HLOOKUP(H45,'GPA Table'!$B$5:$M$8,2,FALSE ),"")</f>
        <v>4</v>
      </c>
      <c r="J45" s="72">
        <f t="shared" si="7"/>
        <v>8</v>
      </c>
      <c r="K45" s="75"/>
      <c r="L45" s="75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4"/>
      <c r="BD45" s="4"/>
      <c r="BE45" s="4"/>
      <c r="BF45" s="4"/>
      <c r="BG45" s="4"/>
      <c r="BH45" s="4"/>
      <c r="BI45" s="4"/>
      <c r="BJ45" s="4"/>
      <c r="BK45" s="4"/>
      <c r="BL45" s="4"/>
      <c r="BM45" s="4"/>
      <c r="BN45" s="4"/>
      <c r="BO45" s="4"/>
      <c r="BP45" s="4"/>
      <c r="BQ45" s="4"/>
      <c r="BR45" s="4"/>
      <c r="BS45" s="4"/>
      <c r="BT45" s="4"/>
      <c r="BU45" s="4"/>
      <c r="BV45" s="4"/>
      <c r="BW45" s="4"/>
      <c r="BX45" s="4"/>
      <c r="BY45" s="4"/>
      <c r="BZ45" s="4"/>
      <c r="CA45" s="4"/>
      <c r="CB45" s="4"/>
      <c r="CC45" s="4"/>
      <c r="CD45" s="4"/>
      <c r="CE45" s="4"/>
      <c r="CF45" s="4"/>
      <c r="CG45" s="4"/>
      <c r="CH45" s="4"/>
      <c r="CI45" s="4"/>
      <c r="CJ45" s="4"/>
      <c r="CK45" s="4"/>
      <c r="CL45" s="4"/>
      <c r="CM45" s="4"/>
      <c r="CN45" s="4"/>
      <c r="CO45" s="4"/>
      <c r="CP45" s="4"/>
      <c r="CQ45" s="4"/>
      <c r="CR45" s="4"/>
      <c r="CS45" s="4"/>
      <c r="CT45" s="4"/>
      <c r="CU45" s="4"/>
      <c r="CV45" s="4"/>
      <c r="CW45" s="4"/>
      <c r="CX45" s="4"/>
      <c r="CY45" s="4"/>
      <c r="CZ45" s="4"/>
      <c r="DA45" s="4"/>
      <c r="DB45" s="4"/>
      <c r="DC45" s="4"/>
      <c r="DD45" s="4"/>
      <c r="DE45" s="4"/>
      <c r="DF45" s="4"/>
      <c r="DG45" s="4"/>
      <c r="DH45" s="4"/>
      <c r="DI45" s="4"/>
      <c r="DJ45" s="4"/>
      <c r="DK45" s="4"/>
      <c r="DL45" s="4"/>
      <c r="DM45" s="4"/>
      <c r="DN45" s="4"/>
      <c r="DO45" s="4"/>
      <c r="DP45" s="4"/>
      <c r="DQ45" s="4"/>
      <c r="DR45" s="4"/>
      <c r="DS45" s="4"/>
      <c r="DT45" s="4"/>
      <c r="DU45" s="4"/>
      <c r="DV45" s="4"/>
      <c r="DW45" s="4"/>
      <c r="DX45" s="4"/>
      <c r="DY45" s="4"/>
      <c r="DZ45" s="4"/>
      <c r="EA45" s="4"/>
      <c r="EB45" s="4"/>
      <c r="EC45" s="4"/>
      <c r="ED45" s="4"/>
      <c r="EE45" s="4"/>
      <c r="EF45" s="4"/>
      <c r="EG45" s="4"/>
      <c r="EH45" s="4"/>
      <c r="EI45" s="4"/>
      <c r="EJ45" s="4"/>
      <c r="EK45" s="4"/>
      <c r="EL45" s="4"/>
      <c r="EM45" s="4"/>
      <c r="EN45" s="4"/>
      <c r="EO45" s="4"/>
      <c r="EP45" s="4"/>
      <c r="EQ45" s="4"/>
      <c r="ER45" s="4"/>
      <c r="ES45" s="4"/>
      <c r="ET45" s="4"/>
      <c r="EU45" s="4"/>
      <c r="EV45" s="4"/>
      <c r="EW45" s="4"/>
      <c r="EX45" s="4"/>
      <c r="EY45" s="4"/>
      <c r="EZ45" s="4"/>
      <c r="FA45" s="4"/>
      <c r="FB45" s="4"/>
      <c r="FC45" s="4"/>
      <c r="FD45" s="4"/>
      <c r="FE45" s="4"/>
      <c r="FF45" s="4"/>
      <c r="FG45" s="4"/>
      <c r="FH45" s="4"/>
      <c r="FI45" s="4"/>
      <c r="FJ45" s="4"/>
      <c r="FK45" s="4"/>
      <c r="FL45" s="4"/>
      <c r="FM45" s="4"/>
      <c r="FN45" s="4"/>
      <c r="FO45" s="4"/>
      <c r="FP45" s="4"/>
      <c r="FQ45" s="4"/>
      <c r="FR45" s="4"/>
      <c r="FS45" s="4"/>
      <c r="FT45" s="4"/>
      <c r="FU45" s="4"/>
      <c r="FV45" s="4"/>
      <c r="FW45" s="4"/>
      <c r="FX45" s="4"/>
      <c r="FY45" s="4"/>
      <c r="FZ45" s="4"/>
      <c r="GA45" s="4"/>
      <c r="GB45" s="4"/>
      <c r="GC45" s="4"/>
      <c r="GD45" s="4"/>
      <c r="GE45" s="4"/>
      <c r="GF45" s="4"/>
      <c r="GG45" s="4"/>
      <c r="GH45" s="4"/>
      <c r="GI45" s="4"/>
      <c r="GJ45" s="4"/>
      <c r="GK45" s="4"/>
      <c r="GL45" s="4"/>
      <c r="GM45" s="4"/>
      <c r="GN45" s="4"/>
      <c r="GO45" s="4"/>
      <c r="GP45" s="4"/>
      <c r="GQ45" s="4"/>
      <c r="GR45" s="4"/>
      <c r="GS45" s="4"/>
      <c r="GT45" s="4"/>
      <c r="GU45" s="4"/>
      <c r="GV45" s="4"/>
      <c r="GW45" s="4"/>
      <c r="GX45" s="4"/>
      <c r="GY45" s="4"/>
      <c r="GZ45" s="4"/>
      <c r="HA45" s="4"/>
      <c r="HB45" s="4"/>
      <c r="HC45" s="4"/>
      <c r="HD45" s="4"/>
      <c r="HE45" s="4"/>
      <c r="HF45" s="4"/>
      <c r="HG45" s="4"/>
      <c r="HH45" s="4"/>
      <c r="HI45" s="4"/>
      <c r="HJ45" s="4"/>
      <c r="HK45" s="4"/>
      <c r="HL45" s="4"/>
      <c r="HM45" s="4"/>
      <c r="HN45" s="4"/>
      <c r="HO45" s="4"/>
      <c r="HP45" s="4"/>
      <c r="HQ45" s="4"/>
      <c r="HR45" s="4"/>
      <c r="HS45" s="4"/>
      <c r="HT45" s="4"/>
      <c r="HU45" s="4"/>
    </row>
    <row r="46" spans="2:229" s="6" customFormat="1" ht="15" customHeight="1" x14ac:dyDescent="0.2">
      <c r="B46" s="163"/>
      <c r="C46" s="18" t="s">
        <v>76</v>
      </c>
      <c r="D46" s="19" t="s">
        <v>77</v>
      </c>
      <c r="E46" s="17" t="s">
        <v>13</v>
      </c>
      <c r="F46" s="22">
        <v>3</v>
      </c>
      <c r="G46" s="15">
        <f t="shared" si="8"/>
        <v>12</v>
      </c>
      <c r="H46" s="70" t="s">
        <v>14</v>
      </c>
      <c r="I46" s="71">
        <f>IF(H46&lt;&gt;"",HLOOKUP(H46,'GPA Table'!$B$5:$M$8,2,FALSE ),"")</f>
        <v>4</v>
      </c>
      <c r="J46" s="72">
        <f t="shared" si="7"/>
        <v>12</v>
      </c>
      <c r="K46" s="73"/>
      <c r="L46" s="73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4"/>
      <c r="BD46" s="4"/>
      <c r="BE46" s="4"/>
      <c r="BF46" s="4"/>
      <c r="BG46" s="4"/>
      <c r="BH46" s="4"/>
      <c r="BI46" s="4"/>
      <c r="BJ46" s="4"/>
      <c r="BK46" s="4"/>
      <c r="BL46" s="4"/>
      <c r="BM46" s="4"/>
      <c r="BN46" s="4"/>
      <c r="BO46" s="4"/>
      <c r="BP46" s="4"/>
      <c r="BQ46" s="4"/>
      <c r="BR46" s="4"/>
      <c r="BS46" s="4"/>
      <c r="BT46" s="4"/>
      <c r="BU46" s="4"/>
      <c r="BV46" s="4"/>
      <c r="BW46" s="4"/>
      <c r="BX46" s="4"/>
      <c r="BY46" s="4"/>
      <c r="BZ46" s="4"/>
      <c r="CA46" s="4"/>
      <c r="CB46" s="4"/>
      <c r="CC46" s="4"/>
      <c r="CD46" s="4"/>
      <c r="CE46" s="4"/>
      <c r="CF46" s="4"/>
      <c r="CG46" s="4"/>
      <c r="CH46" s="4"/>
      <c r="CI46" s="4"/>
      <c r="CJ46" s="4"/>
      <c r="CK46" s="4"/>
      <c r="CL46" s="4"/>
      <c r="CM46" s="4"/>
      <c r="CN46" s="4"/>
      <c r="CO46" s="4"/>
      <c r="CP46" s="4"/>
      <c r="CQ46" s="4"/>
      <c r="CR46" s="4"/>
      <c r="CS46" s="4"/>
      <c r="CT46" s="4"/>
      <c r="CU46" s="4"/>
      <c r="CV46" s="4"/>
      <c r="CW46" s="4"/>
      <c r="CX46" s="4"/>
      <c r="CY46" s="4"/>
      <c r="CZ46" s="4"/>
      <c r="DA46" s="4"/>
      <c r="DB46" s="4"/>
      <c r="DC46" s="4"/>
      <c r="DD46" s="4"/>
      <c r="DE46" s="4"/>
      <c r="DF46" s="4"/>
      <c r="DG46" s="4"/>
      <c r="DH46" s="4"/>
      <c r="DI46" s="4"/>
      <c r="DJ46" s="4"/>
      <c r="DK46" s="4"/>
      <c r="DL46" s="4"/>
      <c r="DM46" s="4"/>
      <c r="DN46" s="4"/>
      <c r="DO46" s="4"/>
      <c r="DP46" s="4"/>
      <c r="DQ46" s="4"/>
      <c r="DR46" s="4"/>
      <c r="DS46" s="4"/>
      <c r="DT46" s="4"/>
      <c r="DU46" s="4"/>
      <c r="DV46" s="4"/>
      <c r="DW46" s="4"/>
      <c r="DX46" s="4"/>
      <c r="DY46" s="4"/>
      <c r="DZ46" s="4"/>
      <c r="EA46" s="4"/>
      <c r="EB46" s="4"/>
      <c r="EC46" s="4"/>
      <c r="ED46" s="4"/>
      <c r="EE46" s="4"/>
      <c r="EF46" s="4"/>
      <c r="EG46" s="4"/>
      <c r="EH46" s="4"/>
      <c r="EI46" s="4"/>
      <c r="EJ46" s="4"/>
      <c r="EK46" s="4"/>
      <c r="EL46" s="4"/>
      <c r="EM46" s="4"/>
      <c r="EN46" s="4"/>
      <c r="EO46" s="4"/>
      <c r="EP46" s="4"/>
      <c r="EQ46" s="4"/>
      <c r="ER46" s="4"/>
      <c r="ES46" s="4"/>
      <c r="ET46" s="4"/>
      <c r="EU46" s="4"/>
      <c r="EV46" s="4"/>
      <c r="EW46" s="4"/>
      <c r="EX46" s="4"/>
      <c r="EY46" s="4"/>
      <c r="EZ46" s="4"/>
      <c r="FA46" s="4"/>
      <c r="FB46" s="4"/>
      <c r="FC46" s="4"/>
      <c r="FD46" s="4"/>
      <c r="FE46" s="4"/>
      <c r="FF46" s="4"/>
      <c r="FG46" s="4"/>
      <c r="FH46" s="4"/>
      <c r="FI46" s="4"/>
      <c r="FJ46" s="4"/>
      <c r="FK46" s="4"/>
      <c r="FL46" s="4"/>
      <c r="FM46" s="4"/>
      <c r="FN46" s="4"/>
      <c r="FO46" s="4"/>
      <c r="FP46" s="4"/>
      <c r="FQ46" s="4"/>
      <c r="FR46" s="4"/>
      <c r="FS46" s="4"/>
      <c r="FT46" s="4"/>
      <c r="FU46" s="4"/>
      <c r="FV46" s="4"/>
      <c r="FW46" s="4"/>
      <c r="FX46" s="4"/>
      <c r="FY46" s="4"/>
      <c r="FZ46" s="4"/>
      <c r="GA46" s="4"/>
      <c r="GB46" s="4"/>
      <c r="GC46" s="4"/>
      <c r="GD46" s="4"/>
      <c r="GE46" s="4"/>
      <c r="GF46" s="4"/>
      <c r="GG46" s="4"/>
      <c r="GH46" s="4"/>
      <c r="GI46" s="4"/>
      <c r="GJ46" s="4"/>
      <c r="GK46" s="4"/>
      <c r="GL46" s="4"/>
      <c r="GM46" s="4"/>
      <c r="GN46" s="4"/>
      <c r="GO46" s="4"/>
      <c r="GP46" s="4"/>
      <c r="GQ46" s="4"/>
      <c r="GR46" s="4"/>
      <c r="GS46" s="4"/>
      <c r="GT46" s="4"/>
      <c r="GU46" s="4"/>
      <c r="GV46" s="4"/>
      <c r="GW46" s="4"/>
      <c r="GX46" s="4"/>
      <c r="GY46" s="4"/>
      <c r="GZ46" s="4"/>
      <c r="HA46" s="4"/>
      <c r="HB46" s="4"/>
      <c r="HC46" s="4"/>
      <c r="HD46" s="4"/>
      <c r="HE46" s="4"/>
      <c r="HF46" s="4"/>
      <c r="HG46" s="4"/>
      <c r="HH46" s="4"/>
      <c r="HI46" s="4"/>
      <c r="HJ46" s="4"/>
      <c r="HK46" s="4"/>
      <c r="HL46" s="4"/>
      <c r="HM46" s="4"/>
      <c r="HN46" s="4"/>
      <c r="HO46" s="4"/>
      <c r="HP46" s="4"/>
      <c r="HQ46" s="4"/>
      <c r="HR46" s="4"/>
      <c r="HS46" s="4"/>
      <c r="HT46" s="4"/>
      <c r="HU46" s="4"/>
    </row>
    <row r="47" spans="2:229" s="6" customFormat="1" ht="15" customHeight="1" x14ac:dyDescent="0.2">
      <c r="B47" s="163"/>
      <c r="C47" s="18" t="s">
        <v>78</v>
      </c>
      <c r="D47" s="19" t="s">
        <v>79</v>
      </c>
      <c r="E47" s="17" t="s">
        <v>13</v>
      </c>
      <c r="F47" s="22">
        <v>3</v>
      </c>
      <c r="G47" s="15">
        <f t="shared" si="8"/>
        <v>12</v>
      </c>
      <c r="H47" s="70" t="s">
        <v>14</v>
      </c>
      <c r="I47" s="71">
        <f>IF(H47&lt;&gt;"",HLOOKUP(H47,'GPA Table'!$B$5:$M$8,2,FALSE ),"")</f>
        <v>4</v>
      </c>
      <c r="J47" s="72">
        <f t="shared" si="7"/>
        <v>12</v>
      </c>
      <c r="K47" s="73"/>
      <c r="L47" s="73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4"/>
      <c r="BD47" s="4"/>
      <c r="BE47" s="4"/>
      <c r="BF47" s="4"/>
      <c r="BG47" s="4"/>
      <c r="BH47" s="4"/>
      <c r="BI47" s="4"/>
      <c r="BJ47" s="4"/>
      <c r="BK47" s="4"/>
      <c r="BL47" s="4"/>
      <c r="BM47" s="4"/>
      <c r="BN47" s="4"/>
      <c r="BO47" s="4"/>
      <c r="BP47" s="4"/>
      <c r="BQ47" s="4"/>
      <c r="BR47" s="4"/>
      <c r="BS47" s="4"/>
      <c r="BT47" s="4"/>
      <c r="BU47" s="4"/>
      <c r="BV47" s="4"/>
      <c r="BW47" s="4"/>
      <c r="BX47" s="4"/>
      <c r="BY47" s="4"/>
      <c r="BZ47" s="4"/>
      <c r="CA47" s="4"/>
      <c r="CB47" s="4"/>
      <c r="CC47" s="4"/>
      <c r="CD47" s="4"/>
      <c r="CE47" s="4"/>
      <c r="CF47" s="4"/>
      <c r="CG47" s="4"/>
      <c r="CH47" s="4"/>
      <c r="CI47" s="4"/>
      <c r="CJ47" s="4"/>
      <c r="CK47" s="4"/>
      <c r="CL47" s="4"/>
      <c r="CM47" s="4"/>
      <c r="CN47" s="4"/>
      <c r="CO47" s="4"/>
      <c r="CP47" s="4"/>
      <c r="CQ47" s="4"/>
      <c r="CR47" s="4"/>
      <c r="CS47" s="4"/>
      <c r="CT47" s="4"/>
      <c r="CU47" s="4"/>
      <c r="CV47" s="4"/>
      <c r="CW47" s="4"/>
      <c r="CX47" s="4"/>
      <c r="CY47" s="4"/>
      <c r="CZ47" s="4"/>
      <c r="DA47" s="4"/>
      <c r="DB47" s="4"/>
      <c r="DC47" s="4"/>
      <c r="DD47" s="4"/>
      <c r="DE47" s="4"/>
      <c r="DF47" s="4"/>
      <c r="DG47" s="4"/>
      <c r="DH47" s="4"/>
      <c r="DI47" s="4"/>
      <c r="DJ47" s="4"/>
      <c r="DK47" s="4"/>
      <c r="DL47" s="4"/>
      <c r="DM47" s="4"/>
      <c r="DN47" s="4"/>
      <c r="DO47" s="4"/>
      <c r="DP47" s="4"/>
      <c r="DQ47" s="4"/>
      <c r="DR47" s="4"/>
      <c r="DS47" s="4"/>
      <c r="DT47" s="4"/>
      <c r="DU47" s="4"/>
      <c r="DV47" s="4"/>
      <c r="DW47" s="4"/>
      <c r="DX47" s="4"/>
      <c r="DY47" s="4"/>
      <c r="DZ47" s="4"/>
      <c r="EA47" s="4"/>
      <c r="EB47" s="4"/>
      <c r="EC47" s="4"/>
      <c r="ED47" s="4"/>
      <c r="EE47" s="4"/>
      <c r="EF47" s="4"/>
      <c r="EG47" s="4"/>
      <c r="EH47" s="4"/>
      <c r="EI47" s="4"/>
      <c r="EJ47" s="4"/>
      <c r="EK47" s="4"/>
      <c r="EL47" s="4"/>
      <c r="EM47" s="4"/>
      <c r="EN47" s="4"/>
      <c r="EO47" s="4"/>
      <c r="EP47" s="4"/>
      <c r="EQ47" s="4"/>
      <c r="ER47" s="4"/>
      <c r="ES47" s="4"/>
      <c r="ET47" s="4"/>
      <c r="EU47" s="4"/>
      <c r="EV47" s="4"/>
      <c r="EW47" s="4"/>
      <c r="EX47" s="4"/>
      <c r="EY47" s="4"/>
      <c r="EZ47" s="4"/>
      <c r="FA47" s="4"/>
      <c r="FB47" s="4"/>
      <c r="FC47" s="4"/>
      <c r="FD47" s="4"/>
      <c r="FE47" s="4"/>
      <c r="FF47" s="4"/>
      <c r="FG47" s="4"/>
      <c r="FH47" s="4"/>
      <c r="FI47" s="4"/>
      <c r="FJ47" s="4"/>
      <c r="FK47" s="4"/>
      <c r="FL47" s="4"/>
      <c r="FM47" s="4"/>
      <c r="FN47" s="4"/>
      <c r="FO47" s="4"/>
      <c r="FP47" s="4"/>
      <c r="FQ47" s="4"/>
      <c r="FR47" s="4"/>
      <c r="FS47" s="4"/>
      <c r="FT47" s="4"/>
      <c r="FU47" s="4"/>
      <c r="FV47" s="4"/>
      <c r="FW47" s="4"/>
      <c r="FX47" s="4"/>
      <c r="FY47" s="4"/>
      <c r="FZ47" s="4"/>
      <c r="GA47" s="4"/>
      <c r="GB47" s="4"/>
      <c r="GC47" s="4"/>
      <c r="GD47" s="4"/>
      <c r="GE47" s="4"/>
      <c r="GF47" s="4"/>
      <c r="GG47" s="4"/>
      <c r="GH47" s="4"/>
      <c r="GI47" s="4"/>
      <c r="GJ47" s="4"/>
      <c r="GK47" s="4"/>
      <c r="GL47" s="4"/>
      <c r="GM47" s="4"/>
      <c r="GN47" s="4"/>
      <c r="GO47" s="4"/>
      <c r="GP47" s="4"/>
      <c r="GQ47" s="4"/>
      <c r="GR47" s="4"/>
      <c r="GS47" s="4"/>
      <c r="GT47" s="4"/>
      <c r="GU47" s="4"/>
      <c r="GV47" s="4"/>
      <c r="GW47" s="4"/>
      <c r="GX47" s="4"/>
      <c r="GY47" s="4"/>
      <c r="GZ47" s="4"/>
      <c r="HA47" s="4"/>
      <c r="HB47" s="4"/>
      <c r="HC47" s="4"/>
      <c r="HD47" s="4"/>
      <c r="HE47" s="4"/>
      <c r="HF47" s="4"/>
      <c r="HG47" s="4"/>
      <c r="HH47" s="4"/>
      <c r="HI47" s="4"/>
      <c r="HJ47" s="4"/>
      <c r="HK47" s="4"/>
      <c r="HL47" s="4"/>
      <c r="HM47" s="4"/>
      <c r="HN47" s="4"/>
      <c r="HO47" s="4"/>
      <c r="HP47" s="4"/>
      <c r="HQ47" s="4"/>
      <c r="HR47" s="4"/>
      <c r="HS47" s="4"/>
      <c r="HT47" s="4"/>
      <c r="HU47" s="4"/>
    </row>
    <row r="48" spans="2:229" s="6" customFormat="1" ht="15" customHeight="1" x14ac:dyDescent="0.2">
      <c r="B48" s="163"/>
      <c r="C48" s="36" t="s">
        <v>80</v>
      </c>
      <c r="D48" s="41" t="s">
        <v>81</v>
      </c>
      <c r="E48" s="17" t="s">
        <v>82</v>
      </c>
      <c r="F48" s="22">
        <v>3</v>
      </c>
      <c r="G48" s="15">
        <f t="shared" si="8"/>
        <v>12</v>
      </c>
      <c r="H48" s="70" t="s">
        <v>14</v>
      </c>
      <c r="I48" s="71">
        <f>IF(H48&lt;&gt;"",HLOOKUP(H48,'GPA Table'!$B$5:$M$8,2,FALSE ),"")</f>
        <v>4</v>
      </c>
      <c r="J48" s="72">
        <f t="shared" si="7"/>
        <v>12</v>
      </c>
      <c r="K48" s="73"/>
      <c r="L48" s="73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4"/>
      <c r="BC48" s="4"/>
      <c r="BD48" s="4"/>
      <c r="BE48" s="4"/>
      <c r="BF48" s="4"/>
      <c r="BG48" s="4"/>
      <c r="BH48" s="4"/>
      <c r="BI48" s="4"/>
      <c r="BJ48" s="4"/>
      <c r="BK48" s="4"/>
      <c r="BL48" s="4"/>
      <c r="BM48" s="4"/>
      <c r="BN48" s="4"/>
      <c r="BO48" s="4"/>
      <c r="BP48" s="4"/>
      <c r="BQ48" s="4"/>
      <c r="BR48" s="4"/>
      <c r="BS48" s="4"/>
      <c r="BT48" s="4"/>
      <c r="BU48" s="4"/>
      <c r="BV48" s="4"/>
      <c r="BW48" s="4"/>
      <c r="BX48" s="4"/>
      <c r="BY48" s="4"/>
      <c r="BZ48" s="4"/>
      <c r="CA48" s="4"/>
      <c r="CB48" s="4"/>
      <c r="CC48" s="4"/>
      <c r="CD48" s="4"/>
      <c r="CE48" s="4"/>
      <c r="CF48" s="4"/>
      <c r="CG48" s="4"/>
      <c r="CH48" s="4"/>
      <c r="CI48" s="4"/>
      <c r="CJ48" s="4"/>
      <c r="CK48" s="4"/>
      <c r="CL48" s="4"/>
      <c r="CM48" s="4"/>
      <c r="CN48" s="4"/>
      <c r="CO48" s="4"/>
      <c r="CP48" s="4"/>
      <c r="CQ48" s="4"/>
      <c r="CR48" s="4"/>
      <c r="CS48" s="4"/>
      <c r="CT48" s="4"/>
      <c r="CU48" s="4"/>
      <c r="CV48" s="4"/>
      <c r="CW48" s="4"/>
      <c r="CX48" s="4"/>
      <c r="CY48" s="4"/>
      <c r="CZ48" s="4"/>
      <c r="DA48" s="4"/>
      <c r="DB48" s="4"/>
      <c r="DC48" s="4"/>
      <c r="DD48" s="4"/>
      <c r="DE48" s="4"/>
      <c r="DF48" s="4"/>
      <c r="DG48" s="4"/>
      <c r="DH48" s="4"/>
      <c r="DI48" s="4"/>
      <c r="DJ48" s="4"/>
      <c r="DK48" s="4"/>
      <c r="DL48" s="4"/>
      <c r="DM48" s="4"/>
      <c r="DN48" s="4"/>
      <c r="DO48" s="4"/>
      <c r="DP48" s="4"/>
      <c r="DQ48" s="4"/>
      <c r="DR48" s="4"/>
      <c r="DS48" s="4"/>
      <c r="DT48" s="4"/>
      <c r="DU48" s="4"/>
      <c r="DV48" s="4"/>
      <c r="DW48" s="4"/>
      <c r="DX48" s="4"/>
      <c r="DY48" s="4"/>
      <c r="DZ48" s="4"/>
      <c r="EA48" s="4"/>
      <c r="EB48" s="4"/>
      <c r="EC48" s="4"/>
      <c r="ED48" s="4"/>
      <c r="EE48" s="4"/>
      <c r="EF48" s="4"/>
      <c r="EG48" s="4"/>
      <c r="EH48" s="4"/>
      <c r="EI48" s="4"/>
      <c r="EJ48" s="4"/>
      <c r="EK48" s="4"/>
      <c r="EL48" s="4"/>
      <c r="EM48" s="4"/>
      <c r="EN48" s="4"/>
      <c r="EO48" s="4"/>
      <c r="EP48" s="4"/>
      <c r="EQ48" s="4"/>
      <c r="ER48" s="4"/>
      <c r="ES48" s="4"/>
      <c r="ET48" s="4"/>
      <c r="EU48" s="4"/>
      <c r="EV48" s="4"/>
      <c r="EW48" s="4"/>
      <c r="EX48" s="4"/>
      <c r="EY48" s="4"/>
      <c r="EZ48" s="4"/>
      <c r="FA48" s="4"/>
      <c r="FB48" s="4"/>
      <c r="FC48" s="4"/>
      <c r="FD48" s="4"/>
      <c r="FE48" s="4"/>
      <c r="FF48" s="4"/>
      <c r="FG48" s="4"/>
      <c r="FH48" s="4"/>
      <c r="FI48" s="4"/>
      <c r="FJ48" s="4"/>
      <c r="FK48" s="4"/>
      <c r="FL48" s="4"/>
      <c r="FM48" s="4"/>
      <c r="FN48" s="4"/>
      <c r="FO48" s="4"/>
      <c r="FP48" s="4"/>
      <c r="FQ48" s="4"/>
      <c r="FR48" s="4"/>
      <c r="FS48" s="4"/>
      <c r="FT48" s="4"/>
      <c r="FU48" s="4"/>
      <c r="FV48" s="4"/>
      <c r="FW48" s="4"/>
      <c r="FX48" s="4"/>
      <c r="FY48" s="4"/>
      <c r="FZ48" s="4"/>
      <c r="GA48" s="4"/>
      <c r="GB48" s="4"/>
      <c r="GC48" s="4"/>
      <c r="GD48" s="4"/>
      <c r="GE48" s="4"/>
      <c r="GF48" s="4"/>
      <c r="GG48" s="4"/>
      <c r="GH48" s="4"/>
      <c r="GI48" s="4"/>
      <c r="GJ48" s="4"/>
      <c r="GK48" s="4"/>
      <c r="GL48" s="4"/>
      <c r="GM48" s="4"/>
      <c r="GN48" s="4"/>
      <c r="GO48" s="4"/>
      <c r="GP48" s="4"/>
      <c r="GQ48" s="4"/>
      <c r="GR48" s="4"/>
      <c r="GS48" s="4"/>
      <c r="GT48" s="4"/>
      <c r="GU48" s="4"/>
      <c r="GV48" s="4"/>
      <c r="GW48" s="4"/>
      <c r="GX48" s="4"/>
      <c r="GY48" s="4"/>
      <c r="GZ48" s="4"/>
      <c r="HA48" s="4"/>
      <c r="HB48" s="4"/>
      <c r="HC48" s="4"/>
      <c r="HD48" s="4"/>
      <c r="HE48" s="4"/>
      <c r="HF48" s="4"/>
      <c r="HG48" s="4"/>
      <c r="HH48" s="4"/>
      <c r="HI48" s="4"/>
      <c r="HJ48" s="4"/>
      <c r="HK48" s="4"/>
      <c r="HL48" s="4"/>
      <c r="HM48" s="4"/>
      <c r="HN48" s="4"/>
      <c r="HO48" s="4"/>
      <c r="HP48" s="4"/>
      <c r="HQ48" s="4"/>
      <c r="HR48" s="4"/>
      <c r="HS48" s="4"/>
      <c r="HT48" s="4"/>
      <c r="HU48" s="4"/>
    </row>
    <row r="49" spans="2:229" s="6" customFormat="1" ht="15" customHeight="1" thickBot="1" x14ac:dyDescent="0.25">
      <c r="B49" s="163"/>
      <c r="C49" s="28" t="s">
        <v>83</v>
      </c>
      <c r="D49" s="29" t="s">
        <v>84</v>
      </c>
      <c r="E49" s="76" t="s">
        <v>13</v>
      </c>
      <c r="F49" s="72">
        <v>2</v>
      </c>
      <c r="G49" s="15">
        <f t="shared" si="8"/>
        <v>8</v>
      </c>
      <c r="H49" s="74" t="s">
        <v>14</v>
      </c>
      <c r="I49" s="77">
        <f>IF(H49&lt;&gt;"",HLOOKUP(H49,'GPA Table'!$B$5:$M$8,2,FALSE ),"")</f>
        <v>4</v>
      </c>
      <c r="J49" s="78">
        <f t="shared" si="7"/>
        <v>8</v>
      </c>
      <c r="K49" s="75"/>
      <c r="L49" s="75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4"/>
      <c r="BC49" s="4"/>
      <c r="BD49" s="4"/>
      <c r="BE49" s="4"/>
      <c r="BF49" s="4"/>
      <c r="BG49" s="4"/>
      <c r="BH49" s="4"/>
      <c r="BI49" s="4"/>
      <c r="BJ49" s="4"/>
      <c r="BK49" s="4"/>
      <c r="BL49" s="4"/>
      <c r="BM49" s="4"/>
      <c r="BN49" s="4"/>
      <c r="BO49" s="4"/>
      <c r="BP49" s="4"/>
      <c r="BQ49" s="4"/>
      <c r="BR49" s="4"/>
      <c r="BS49" s="4"/>
      <c r="BT49" s="4"/>
      <c r="BU49" s="4"/>
      <c r="BV49" s="4"/>
      <c r="BW49" s="4"/>
      <c r="BX49" s="4"/>
      <c r="BY49" s="4"/>
      <c r="BZ49" s="4"/>
      <c r="CA49" s="4"/>
      <c r="CB49" s="4"/>
      <c r="CC49" s="4"/>
      <c r="CD49" s="4"/>
      <c r="CE49" s="4"/>
      <c r="CF49" s="4"/>
      <c r="CG49" s="4"/>
      <c r="CH49" s="4"/>
      <c r="CI49" s="4"/>
      <c r="CJ49" s="4"/>
      <c r="CK49" s="4"/>
      <c r="CL49" s="4"/>
      <c r="CM49" s="4"/>
      <c r="CN49" s="4"/>
      <c r="CO49" s="4"/>
      <c r="CP49" s="4"/>
      <c r="CQ49" s="4"/>
      <c r="CR49" s="4"/>
      <c r="CS49" s="4"/>
      <c r="CT49" s="4"/>
      <c r="CU49" s="4"/>
      <c r="CV49" s="4"/>
      <c r="CW49" s="4"/>
      <c r="CX49" s="4"/>
      <c r="CY49" s="4"/>
      <c r="CZ49" s="4"/>
      <c r="DA49" s="4"/>
      <c r="DB49" s="4"/>
      <c r="DC49" s="4"/>
      <c r="DD49" s="4"/>
      <c r="DE49" s="4"/>
      <c r="DF49" s="4"/>
      <c r="DG49" s="4"/>
      <c r="DH49" s="4"/>
      <c r="DI49" s="4"/>
      <c r="DJ49" s="4"/>
      <c r="DK49" s="4"/>
      <c r="DL49" s="4"/>
      <c r="DM49" s="4"/>
      <c r="DN49" s="4"/>
      <c r="DO49" s="4"/>
      <c r="DP49" s="4"/>
      <c r="DQ49" s="4"/>
      <c r="DR49" s="4"/>
      <c r="DS49" s="4"/>
      <c r="DT49" s="4"/>
      <c r="DU49" s="4"/>
      <c r="DV49" s="4"/>
      <c r="DW49" s="4"/>
      <c r="DX49" s="4"/>
      <c r="DY49" s="4"/>
      <c r="DZ49" s="4"/>
      <c r="EA49" s="4"/>
      <c r="EB49" s="4"/>
      <c r="EC49" s="4"/>
      <c r="ED49" s="4"/>
      <c r="EE49" s="4"/>
      <c r="EF49" s="4"/>
      <c r="EG49" s="4"/>
      <c r="EH49" s="4"/>
      <c r="EI49" s="4"/>
      <c r="EJ49" s="4"/>
      <c r="EK49" s="4"/>
      <c r="EL49" s="4"/>
      <c r="EM49" s="4"/>
      <c r="EN49" s="4"/>
      <c r="EO49" s="4"/>
      <c r="EP49" s="4"/>
      <c r="EQ49" s="4"/>
      <c r="ER49" s="4"/>
      <c r="ES49" s="4"/>
      <c r="ET49" s="4"/>
      <c r="EU49" s="4"/>
      <c r="EV49" s="4"/>
      <c r="EW49" s="4"/>
      <c r="EX49" s="4"/>
      <c r="EY49" s="4"/>
      <c r="EZ49" s="4"/>
      <c r="FA49" s="4"/>
      <c r="FB49" s="4"/>
      <c r="FC49" s="4"/>
      <c r="FD49" s="4"/>
      <c r="FE49" s="4"/>
      <c r="FF49" s="4"/>
      <c r="FG49" s="4"/>
      <c r="FH49" s="4"/>
      <c r="FI49" s="4"/>
      <c r="FJ49" s="4"/>
      <c r="FK49" s="4"/>
      <c r="FL49" s="4"/>
      <c r="FM49" s="4"/>
      <c r="FN49" s="4"/>
      <c r="FO49" s="4"/>
      <c r="FP49" s="4"/>
      <c r="FQ49" s="4"/>
      <c r="FR49" s="4"/>
      <c r="FS49" s="4"/>
      <c r="FT49" s="4"/>
      <c r="FU49" s="4"/>
      <c r="FV49" s="4"/>
      <c r="FW49" s="4"/>
      <c r="FX49" s="4"/>
      <c r="FY49" s="4"/>
      <c r="FZ49" s="4"/>
      <c r="GA49" s="4"/>
      <c r="GB49" s="4"/>
      <c r="GC49" s="4"/>
      <c r="GD49" s="4"/>
      <c r="GE49" s="4"/>
      <c r="GF49" s="4"/>
      <c r="GG49" s="4"/>
      <c r="GH49" s="4"/>
      <c r="GI49" s="4"/>
      <c r="GJ49" s="4"/>
      <c r="GK49" s="4"/>
      <c r="GL49" s="4"/>
      <c r="GM49" s="4"/>
      <c r="GN49" s="4"/>
      <c r="GO49" s="4"/>
      <c r="GP49" s="4"/>
      <c r="GQ49" s="4"/>
      <c r="GR49" s="4"/>
      <c r="GS49" s="4"/>
      <c r="GT49" s="4"/>
      <c r="GU49" s="4"/>
      <c r="GV49" s="4"/>
      <c r="GW49" s="4"/>
      <c r="GX49" s="4"/>
      <c r="GY49" s="4"/>
      <c r="GZ49" s="4"/>
      <c r="HA49" s="4"/>
      <c r="HB49" s="4"/>
      <c r="HC49" s="4"/>
      <c r="HD49" s="4"/>
      <c r="HE49" s="4"/>
      <c r="HF49" s="4"/>
      <c r="HG49" s="4"/>
      <c r="HH49" s="4"/>
      <c r="HI49" s="4"/>
      <c r="HJ49" s="4"/>
      <c r="HK49" s="4"/>
      <c r="HL49" s="4"/>
      <c r="HM49" s="4"/>
      <c r="HN49" s="4"/>
      <c r="HO49" s="4"/>
      <c r="HP49" s="4"/>
      <c r="HQ49" s="4"/>
      <c r="HR49" s="4"/>
      <c r="HS49" s="4"/>
      <c r="HT49" s="4"/>
      <c r="HU49" s="4"/>
    </row>
    <row r="50" spans="2:229" s="6" customFormat="1" ht="15" customHeight="1" thickTop="1" thickBot="1" x14ac:dyDescent="0.25">
      <c r="B50" s="164"/>
      <c r="C50" s="190"/>
      <c r="D50" s="191"/>
      <c r="E50" s="192"/>
      <c r="F50" s="31">
        <f>SUM(F43:F49)</f>
        <v>17</v>
      </c>
      <c r="G50" s="31">
        <f>SUM(G43:G49)</f>
        <v>68</v>
      </c>
      <c r="H50" s="32"/>
      <c r="I50" s="79">
        <f t="shared" ref="I50:J50" si="9">SUM(I43:I49)</f>
        <v>28</v>
      </c>
      <c r="J50" s="80">
        <f t="shared" si="9"/>
        <v>68</v>
      </c>
      <c r="K50" s="31">
        <f>J50/G50*4</f>
        <v>4</v>
      </c>
      <c r="L50" s="31">
        <f>(K34+K21+K42+K50)/4</f>
        <v>4</v>
      </c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4"/>
      <c r="BC50" s="4"/>
      <c r="BD50" s="4"/>
      <c r="BE50" s="4"/>
      <c r="BF50" s="4"/>
      <c r="BG50" s="4"/>
      <c r="BH50" s="4"/>
      <c r="BI50" s="4"/>
      <c r="BJ50" s="4"/>
      <c r="BK50" s="4"/>
      <c r="BL50" s="4"/>
      <c r="BM50" s="4"/>
      <c r="BN50" s="4"/>
      <c r="BO50" s="4"/>
      <c r="BP50" s="4"/>
      <c r="BQ50" s="4"/>
      <c r="BR50" s="4"/>
      <c r="BS50" s="4"/>
      <c r="BT50" s="4"/>
      <c r="BU50" s="4"/>
      <c r="BV50" s="4"/>
      <c r="BW50" s="4"/>
      <c r="BX50" s="4"/>
      <c r="BY50" s="4"/>
      <c r="BZ50" s="4"/>
      <c r="CA50" s="4"/>
      <c r="CB50" s="4"/>
      <c r="CC50" s="4"/>
      <c r="CD50" s="4"/>
      <c r="CE50" s="4"/>
      <c r="CF50" s="4"/>
      <c r="CG50" s="4"/>
      <c r="CH50" s="4"/>
      <c r="CI50" s="4"/>
      <c r="CJ50" s="4"/>
      <c r="CK50" s="4"/>
      <c r="CL50" s="4"/>
      <c r="CM50" s="4"/>
      <c r="CN50" s="4"/>
      <c r="CO50" s="4"/>
      <c r="CP50" s="4"/>
      <c r="CQ50" s="4"/>
      <c r="CR50" s="4"/>
      <c r="CS50" s="4"/>
      <c r="CT50" s="4"/>
      <c r="CU50" s="4"/>
      <c r="CV50" s="4"/>
      <c r="CW50" s="4"/>
      <c r="CX50" s="4"/>
      <c r="CY50" s="4"/>
      <c r="CZ50" s="4"/>
      <c r="DA50" s="4"/>
      <c r="DB50" s="4"/>
      <c r="DC50" s="4"/>
      <c r="DD50" s="4"/>
      <c r="DE50" s="4"/>
      <c r="DF50" s="4"/>
      <c r="DG50" s="4"/>
      <c r="DH50" s="4"/>
      <c r="DI50" s="4"/>
      <c r="DJ50" s="4"/>
      <c r="DK50" s="4"/>
      <c r="DL50" s="4"/>
      <c r="DM50" s="4"/>
      <c r="DN50" s="4"/>
      <c r="DO50" s="4"/>
      <c r="DP50" s="4"/>
      <c r="DQ50" s="4"/>
      <c r="DR50" s="4"/>
      <c r="DS50" s="4"/>
      <c r="DT50" s="4"/>
      <c r="DU50" s="4"/>
      <c r="DV50" s="4"/>
      <c r="DW50" s="4"/>
      <c r="DX50" s="4"/>
      <c r="DY50" s="4"/>
      <c r="DZ50" s="4"/>
      <c r="EA50" s="4"/>
      <c r="EB50" s="4"/>
      <c r="EC50" s="4"/>
      <c r="ED50" s="4"/>
      <c r="EE50" s="4"/>
      <c r="EF50" s="4"/>
      <c r="EG50" s="4"/>
      <c r="EH50" s="4"/>
      <c r="EI50" s="4"/>
      <c r="EJ50" s="4"/>
      <c r="EK50" s="4"/>
      <c r="EL50" s="4"/>
      <c r="EM50" s="4"/>
      <c r="EN50" s="4"/>
      <c r="EO50" s="4"/>
      <c r="EP50" s="4"/>
      <c r="EQ50" s="4"/>
      <c r="ER50" s="4"/>
      <c r="ES50" s="4"/>
      <c r="ET50" s="4"/>
      <c r="EU50" s="4"/>
      <c r="EV50" s="4"/>
      <c r="EW50" s="4"/>
      <c r="EX50" s="4"/>
      <c r="EY50" s="4"/>
      <c r="EZ50" s="4"/>
      <c r="FA50" s="4"/>
      <c r="FB50" s="4"/>
      <c r="FC50" s="4"/>
      <c r="FD50" s="4"/>
      <c r="FE50" s="4"/>
      <c r="FF50" s="4"/>
      <c r="FG50" s="4"/>
      <c r="FH50" s="4"/>
      <c r="FI50" s="4"/>
      <c r="FJ50" s="4"/>
      <c r="FK50" s="4"/>
      <c r="FL50" s="4"/>
      <c r="FM50" s="4"/>
      <c r="FN50" s="4"/>
      <c r="FO50" s="4"/>
      <c r="FP50" s="4"/>
      <c r="FQ50" s="4"/>
      <c r="FR50" s="4"/>
      <c r="FS50" s="4"/>
      <c r="FT50" s="4"/>
      <c r="FU50" s="4"/>
      <c r="FV50" s="4"/>
      <c r="FW50" s="4"/>
      <c r="FX50" s="4"/>
      <c r="FY50" s="4"/>
      <c r="FZ50" s="4"/>
      <c r="GA50" s="4"/>
      <c r="GB50" s="4"/>
      <c r="GC50" s="4"/>
      <c r="GD50" s="4"/>
      <c r="GE50" s="4"/>
      <c r="GF50" s="4"/>
      <c r="GG50" s="4"/>
      <c r="GH50" s="4"/>
      <c r="GI50" s="4"/>
      <c r="GJ50" s="4"/>
      <c r="GK50" s="4"/>
      <c r="GL50" s="4"/>
      <c r="GM50" s="4"/>
      <c r="GN50" s="4"/>
      <c r="GO50" s="4"/>
      <c r="GP50" s="4"/>
      <c r="GQ50" s="4"/>
      <c r="GR50" s="4"/>
      <c r="GS50" s="4"/>
      <c r="GT50" s="4"/>
      <c r="GU50" s="4"/>
      <c r="GV50" s="4"/>
      <c r="GW50" s="4"/>
      <c r="GX50" s="4"/>
      <c r="GY50" s="4"/>
      <c r="GZ50" s="4"/>
      <c r="HA50" s="4"/>
      <c r="HB50" s="4"/>
      <c r="HC50" s="4"/>
      <c r="HD50" s="4"/>
      <c r="HE50" s="4"/>
      <c r="HF50" s="4"/>
      <c r="HG50" s="4"/>
      <c r="HH50" s="4"/>
      <c r="HI50" s="4"/>
      <c r="HJ50" s="4"/>
      <c r="HK50" s="4"/>
      <c r="HL50" s="4"/>
      <c r="HM50" s="4"/>
      <c r="HN50" s="4"/>
      <c r="HO50" s="4"/>
      <c r="HP50" s="4"/>
      <c r="HQ50" s="4"/>
      <c r="HR50" s="4"/>
      <c r="HS50" s="4"/>
      <c r="HT50" s="4"/>
      <c r="HU50" s="4"/>
    </row>
    <row r="51" spans="2:229" s="6" customFormat="1" ht="15" customHeight="1" x14ac:dyDescent="0.2">
      <c r="B51" s="188" t="s">
        <v>85</v>
      </c>
      <c r="C51" s="12" t="s">
        <v>86</v>
      </c>
      <c r="D51" s="13" t="s">
        <v>87</v>
      </c>
      <c r="E51" s="34" t="s">
        <v>29</v>
      </c>
      <c r="F51" s="81">
        <v>2</v>
      </c>
      <c r="G51" s="12">
        <f>F51*4</f>
        <v>8</v>
      </c>
      <c r="H51" s="149" t="s">
        <v>14</v>
      </c>
      <c r="I51" s="82">
        <f>IF(H51&lt;&gt;"",HLOOKUP(H51,'GPA Table'!$B$5:$M$8,2,FALSE ),"")</f>
        <v>4</v>
      </c>
      <c r="J51" s="81">
        <f>I51*F51</f>
        <v>8</v>
      </c>
      <c r="K51" s="83"/>
      <c r="L51" s="83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4"/>
      <c r="BC51" s="4"/>
      <c r="BD51" s="4"/>
      <c r="BE51" s="4"/>
      <c r="BF51" s="4"/>
      <c r="BG51" s="4"/>
      <c r="BH51" s="4"/>
      <c r="BI51" s="4"/>
      <c r="BJ51" s="4"/>
      <c r="BK51" s="4"/>
      <c r="BL51" s="4"/>
      <c r="BM51" s="4"/>
      <c r="BN51" s="4"/>
      <c r="BO51" s="4"/>
      <c r="BP51" s="4"/>
      <c r="BQ51" s="4"/>
      <c r="BR51" s="4"/>
      <c r="BS51" s="4"/>
      <c r="BT51" s="4"/>
      <c r="BU51" s="4"/>
      <c r="BV51" s="4"/>
      <c r="BW51" s="4"/>
      <c r="BX51" s="4"/>
      <c r="BY51" s="4"/>
      <c r="BZ51" s="4"/>
      <c r="CA51" s="4"/>
      <c r="CB51" s="4"/>
      <c r="CC51" s="4"/>
      <c r="CD51" s="4"/>
      <c r="CE51" s="4"/>
      <c r="CF51" s="4"/>
      <c r="CG51" s="4"/>
      <c r="CH51" s="4"/>
      <c r="CI51" s="4"/>
      <c r="CJ51" s="4"/>
      <c r="CK51" s="4"/>
      <c r="CL51" s="4"/>
      <c r="CM51" s="4"/>
      <c r="CN51" s="4"/>
      <c r="CO51" s="4"/>
      <c r="CP51" s="4"/>
      <c r="CQ51" s="4"/>
      <c r="CR51" s="4"/>
      <c r="CS51" s="4"/>
      <c r="CT51" s="4"/>
      <c r="CU51" s="4"/>
      <c r="CV51" s="4"/>
      <c r="CW51" s="4"/>
      <c r="CX51" s="4"/>
      <c r="CY51" s="4"/>
      <c r="CZ51" s="4"/>
      <c r="DA51" s="4"/>
      <c r="DB51" s="4"/>
      <c r="DC51" s="4"/>
      <c r="DD51" s="4"/>
      <c r="DE51" s="4"/>
      <c r="DF51" s="4"/>
      <c r="DG51" s="4"/>
      <c r="DH51" s="4"/>
      <c r="DI51" s="4"/>
      <c r="DJ51" s="4"/>
      <c r="DK51" s="4"/>
      <c r="DL51" s="4"/>
      <c r="DM51" s="4"/>
      <c r="DN51" s="4"/>
      <c r="DO51" s="4"/>
      <c r="DP51" s="4"/>
      <c r="DQ51" s="4"/>
      <c r="DR51" s="4"/>
      <c r="DS51" s="4"/>
      <c r="DT51" s="4"/>
      <c r="DU51" s="4"/>
      <c r="DV51" s="4"/>
      <c r="DW51" s="4"/>
      <c r="DX51" s="4"/>
      <c r="DY51" s="4"/>
      <c r="DZ51" s="4"/>
      <c r="EA51" s="4"/>
      <c r="EB51" s="4"/>
      <c r="EC51" s="4"/>
      <c r="ED51" s="4"/>
      <c r="EE51" s="4"/>
      <c r="EF51" s="4"/>
      <c r="EG51" s="4"/>
      <c r="EH51" s="4"/>
      <c r="EI51" s="4"/>
      <c r="EJ51" s="4"/>
      <c r="EK51" s="4"/>
      <c r="EL51" s="4"/>
      <c r="EM51" s="4"/>
      <c r="EN51" s="4"/>
      <c r="EO51" s="4"/>
      <c r="EP51" s="4"/>
      <c r="EQ51" s="4"/>
      <c r="ER51" s="4"/>
      <c r="ES51" s="4"/>
      <c r="ET51" s="4"/>
      <c r="EU51" s="4"/>
      <c r="EV51" s="4"/>
      <c r="EW51" s="4"/>
      <c r="EX51" s="4"/>
      <c r="EY51" s="4"/>
      <c r="EZ51" s="4"/>
      <c r="FA51" s="4"/>
      <c r="FB51" s="4"/>
      <c r="FC51" s="4"/>
      <c r="FD51" s="4"/>
      <c r="FE51" s="4"/>
      <c r="FF51" s="4"/>
      <c r="FG51" s="4"/>
      <c r="FH51" s="4"/>
      <c r="FI51" s="4"/>
      <c r="FJ51" s="4"/>
      <c r="FK51" s="4"/>
      <c r="FL51" s="4"/>
      <c r="FM51" s="4"/>
      <c r="FN51" s="4"/>
      <c r="FO51" s="4"/>
      <c r="FP51" s="4"/>
      <c r="FQ51" s="4"/>
      <c r="FR51" s="4"/>
      <c r="FS51" s="4"/>
      <c r="FT51" s="4"/>
      <c r="FU51" s="4"/>
      <c r="FV51" s="4"/>
      <c r="FW51" s="4"/>
      <c r="FX51" s="4"/>
      <c r="FY51" s="4"/>
      <c r="FZ51" s="4"/>
      <c r="GA51" s="4"/>
      <c r="GB51" s="4"/>
      <c r="GC51" s="4"/>
      <c r="GD51" s="4"/>
      <c r="GE51" s="4"/>
      <c r="GF51" s="4"/>
      <c r="GG51" s="4"/>
      <c r="GH51" s="4"/>
      <c r="GI51" s="4"/>
      <c r="GJ51" s="4"/>
      <c r="GK51" s="4"/>
      <c r="GL51" s="4"/>
      <c r="GM51" s="4"/>
      <c r="GN51" s="4"/>
      <c r="GO51" s="4"/>
      <c r="GP51" s="4"/>
      <c r="GQ51" s="4"/>
      <c r="GR51" s="4"/>
      <c r="GS51" s="4"/>
      <c r="GT51" s="4"/>
      <c r="GU51" s="4"/>
      <c r="GV51" s="4"/>
      <c r="GW51" s="4"/>
      <c r="GX51" s="4"/>
      <c r="GY51" s="4"/>
      <c r="GZ51" s="4"/>
      <c r="HA51" s="4"/>
      <c r="HB51" s="4"/>
      <c r="HC51" s="4"/>
      <c r="HD51" s="4"/>
      <c r="HE51" s="4"/>
      <c r="HF51" s="4"/>
      <c r="HG51" s="4"/>
      <c r="HH51" s="4"/>
      <c r="HI51" s="4"/>
      <c r="HJ51" s="4"/>
      <c r="HK51" s="4"/>
      <c r="HL51" s="4"/>
      <c r="HM51" s="4"/>
      <c r="HN51" s="4"/>
      <c r="HO51" s="4"/>
      <c r="HP51" s="4"/>
      <c r="HQ51" s="4"/>
      <c r="HR51" s="4"/>
      <c r="HS51" s="4"/>
      <c r="HT51" s="4"/>
      <c r="HU51" s="4"/>
    </row>
    <row r="52" spans="2:229" s="6" customFormat="1" ht="15" customHeight="1" x14ac:dyDescent="0.2">
      <c r="B52" s="193"/>
      <c r="C52" s="18" t="s">
        <v>88</v>
      </c>
      <c r="D52" s="19" t="s">
        <v>89</v>
      </c>
      <c r="E52" s="84" t="s">
        <v>13</v>
      </c>
      <c r="F52" s="85">
        <v>3</v>
      </c>
      <c r="G52" s="18">
        <f>F52*4</f>
        <v>12</v>
      </c>
      <c r="H52" s="156" t="s">
        <v>14</v>
      </c>
      <c r="I52" s="86">
        <f>IF(H52&lt;&gt;"",HLOOKUP(H52,'GPA Table'!$B$5:$M$8,2,FALSE ),"")</f>
        <v>4</v>
      </c>
      <c r="J52" s="22">
        <f>I52*F52</f>
        <v>12</v>
      </c>
      <c r="K52" s="87"/>
      <c r="L52" s="87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"/>
      <c r="BC52" s="4"/>
      <c r="BD52" s="4"/>
      <c r="BE52" s="4"/>
      <c r="BF52" s="4"/>
      <c r="BG52" s="4"/>
      <c r="BH52" s="4"/>
      <c r="BI52" s="4"/>
      <c r="BJ52" s="4"/>
      <c r="BK52" s="4"/>
      <c r="BL52" s="4"/>
      <c r="BM52" s="4"/>
      <c r="BN52" s="4"/>
      <c r="BO52" s="4"/>
      <c r="BP52" s="4"/>
      <c r="BQ52" s="4"/>
      <c r="BR52" s="4"/>
      <c r="BS52" s="4"/>
      <c r="BT52" s="4"/>
      <c r="BU52" s="4"/>
      <c r="BV52" s="4"/>
      <c r="BW52" s="4"/>
      <c r="BX52" s="4"/>
      <c r="BY52" s="4"/>
      <c r="BZ52" s="4"/>
      <c r="CA52" s="4"/>
      <c r="CB52" s="4"/>
      <c r="CC52" s="4"/>
      <c r="CD52" s="4"/>
      <c r="CE52" s="4"/>
      <c r="CF52" s="4"/>
      <c r="CG52" s="4"/>
      <c r="CH52" s="4"/>
      <c r="CI52" s="4"/>
      <c r="CJ52" s="4"/>
      <c r="CK52" s="4"/>
      <c r="CL52" s="4"/>
      <c r="CM52" s="4"/>
      <c r="CN52" s="4"/>
      <c r="CO52" s="4"/>
      <c r="CP52" s="4"/>
      <c r="CQ52" s="4"/>
      <c r="CR52" s="4"/>
      <c r="CS52" s="4"/>
      <c r="CT52" s="4"/>
      <c r="CU52" s="4"/>
      <c r="CV52" s="4"/>
      <c r="CW52" s="4"/>
      <c r="CX52" s="4"/>
      <c r="CY52" s="4"/>
      <c r="CZ52" s="4"/>
      <c r="DA52" s="4"/>
      <c r="DB52" s="4"/>
      <c r="DC52" s="4"/>
      <c r="DD52" s="4"/>
      <c r="DE52" s="4"/>
      <c r="DF52" s="4"/>
      <c r="DG52" s="4"/>
      <c r="DH52" s="4"/>
      <c r="DI52" s="4"/>
      <c r="DJ52" s="4"/>
      <c r="DK52" s="4"/>
      <c r="DL52" s="4"/>
      <c r="DM52" s="4"/>
      <c r="DN52" s="4"/>
      <c r="DO52" s="4"/>
      <c r="DP52" s="4"/>
      <c r="DQ52" s="4"/>
      <c r="DR52" s="4"/>
      <c r="DS52" s="4"/>
      <c r="DT52" s="4"/>
      <c r="DU52" s="4"/>
      <c r="DV52" s="4"/>
      <c r="DW52" s="4"/>
      <c r="DX52" s="4"/>
      <c r="DY52" s="4"/>
      <c r="DZ52" s="4"/>
      <c r="EA52" s="4"/>
      <c r="EB52" s="4"/>
      <c r="EC52" s="4"/>
      <c r="ED52" s="4"/>
      <c r="EE52" s="4"/>
      <c r="EF52" s="4"/>
      <c r="EG52" s="4"/>
      <c r="EH52" s="4"/>
      <c r="EI52" s="4"/>
      <c r="EJ52" s="4"/>
      <c r="EK52" s="4"/>
      <c r="EL52" s="4"/>
      <c r="EM52" s="4"/>
      <c r="EN52" s="4"/>
      <c r="EO52" s="4"/>
      <c r="EP52" s="4"/>
      <c r="EQ52" s="4"/>
      <c r="ER52" s="4"/>
      <c r="ES52" s="4"/>
      <c r="ET52" s="4"/>
      <c r="EU52" s="4"/>
      <c r="EV52" s="4"/>
      <c r="EW52" s="4"/>
      <c r="EX52" s="4"/>
      <c r="EY52" s="4"/>
      <c r="EZ52" s="4"/>
      <c r="FA52" s="4"/>
      <c r="FB52" s="4"/>
      <c r="FC52" s="4"/>
      <c r="FD52" s="4"/>
      <c r="FE52" s="4"/>
      <c r="FF52" s="4"/>
      <c r="FG52" s="4"/>
      <c r="FH52" s="4"/>
      <c r="FI52" s="4"/>
      <c r="FJ52" s="4"/>
      <c r="FK52" s="4"/>
      <c r="FL52" s="4"/>
      <c r="FM52" s="4"/>
      <c r="FN52" s="4"/>
      <c r="FO52" s="4"/>
      <c r="FP52" s="4"/>
      <c r="FQ52" s="4"/>
      <c r="FR52" s="4"/>
      <c r="FS52" s="4"/>
      <c r="FT52" s="4"/>
      <c r="FU52" s="4"/>
      <c r="FV52" s="4"/>
      <c r="FW52" s="4"/>
      <c r="FX52" s="4"/>
      <c r="FY52" s="4"/>
      <c r="FZ52" s="4"/>
      <c r="GA52" s="4"/>
      <c r="GB52" s="4"/>
      <c r="GC52" s="4"/>
      <c r="GD52" s="4"/>
      <c r="GE52" s="4"/>
      <c r="GF52" s="4"/>
      <c r="GG52" s="4"/>
      <c r="GH52" s="4"/>
      <c r="GI52" s="4"/>
      <c r="GJ52" s="4"/>
      <c r="GK52" s="4"/>
      <c r="GL52" s="4"/>
      <c r="GM52" s="4"/>
      <c r="GN52" s="4"/>
      <c r="GO52" s="4"/>
      <c r="GP52" s="4"/>
      <c r="GQ52" s="4"/>
      <c r="GR52" s="4"/>
      <c r="GS52" s="4"/>
      <c r="GT52" s="4"/>
      <c r="GU52" s="4"/>
      <c r="GV52" s="4"/>
      <c r="GW52" s="4"/>
      <c r="GX52" s="4"/>
      <c r="GY52" s="4"/>
      <c r="GZ52" s="4"/>
      <c r="HA52" s="4"/>
      <c r="HB52" s="4"/>
      <c r="HC52" s="4"/>
      <c r="HD52" s="4"/>
      <c r="HE52" s="4"/>
      <c r="HF52" s="4"/>
      <c r="HG52" s="4"/>
      <c r="HH52" s="4"/>
      <c r="HI52" s="4"/>
      <c r="HJ52" s="4"/>
      <c r="HK52" s="4"/>
      <c r="HL52" s="4"/>
      <c r="HM52" s="4"/>
      <c r="HN52" s="4"/>
      <c r="HO52" s="4"/>
      <c r="HP52" s="4"/>
      <c r="HQ52" s="4"/>
      <c r="HR52" s="4"/>
      <c r="HS52" s="4"/>
      <c r="HT52" s="4"/>
      <c r="HU52" s="4"/>
    </row>
    <row r="53" spans="2:229" s="6" customFormat="1" ht="15" customHeight="1" x14ac:dyDescent="0.2">
      <c r="B53" s="193"/>
      <c r="C53" s="18" t="s">
        <v>90</v>
      </c>
      <c r="D53" s="19" t="s">
        <v>91</v>
      </c>
      <c r="E53" s="84" t="s">
        <v>13</v>
      </c>
      <c r="F53" s="85">
        <v>3</v>
      </c>
      <c r="G53" s="18">
        <f t="shared" ref="G53:G56" si="10">F53*4</f>
        <v>12</v>
      </c>
      <c r="H53" s="156" t="s">
        <v>14</v>
      </c>
      <c r="I53" s="86">
        <f>IF(H53&lt;&gt;"",HLOOKUP(H53,'GPA Table'!$B$5:$M$8,2,FALSE ),"")</f>
        <v>4</v>
      </c>
      <c r="J53" s="22">
        <f t="shared" ref="J53:J56" si="11">I53*F53</f>
        <v>12</v>
      </c>
      <c r="K53" s="87"/>
      <c r="L53" s="87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4"/>
      <c r="BC53" s="4"/>
      <c r="BD53" s="4"/>
      <c r="BE53" s="4"/>
      <c r="BF53" s="4"/>
      <c r="BG53" s="4"/>
      <c r="BH53" s="4"/>
      <c r="BI53" s="4"/>
      <c r="BJ53" s="4"/>
      <c r="BK53" s="4"/>
      <c r="BL53" s="4"/>
      <c r="BM53" s="4"/>
      <c r="BN53" s="4"/>
      <c r="BO53" s="4"/>
      <c r="BP53" s="4"/>
      <c r="BQ53" s="4"/>
      <c r="BR53" s="4"/>
      <c r="BS53" s="4"/>
      <c r="BT53" s="4"/>
      <c r="BU53" s="4"/>
      <c r="BV53" s="4"/>
      <c r="BW53" s="4"/>
      <c r="BX53" s="4"/>
      <c r="BY53" s="4"/>
      <c r="BZ53" s="4"/>
      <c r="CA53" s="4"/>
      <c r="CB53" s="4"/>
      <c r="CC53" s="4"/>
      <c r="CD53" s="4"/>
      <c r="CE53" s="4"/>
      <c r="CF53" s="4"/>
      <c r="CG53" s="4"/>
      <c r="CH53" s="4"/>
      <c r="CI53" s="4"/>
      <c r="CJ53" s="4"/>
      <c r="CK53" s="4"/>
      <c r="CL53" s="4"/>
      <c r="CM53" s="4"/>
      <c r="CN53" s="4"/>
      <c r="CO53" s="4"/>
      <c r="CP53" s="4"/>
      <c r="CQ53" s="4"/>
      <c r="CR53" s="4"/>
      <c r="CS53" s="4"/>
      <c r="CT53" s="4"/>
      <c r="CU53" s="4"/>
      <c r="CV53" s="4"/>
      <c r="CW53" s="4"/>
      <c r="CX53" s="4"/>
      <c r="CY53" s="4"/>
      <c r="CZ53" s="4"/>
      <c r="DA53" s="4"/>
      <c r="DB53" s="4"/>
      <c r="DC53" s="4"/>
      <c r="DD53" s="4"/>
      <c r="DE53" s="4"/>
      <c r="DF53" s="4"/>
      <c r="DG53" s="4"/>
      <c r="DH53" s="4"/>
      <c r="DI53" s="4"/>
      <c r="DJ53" s="4"/>
      <c r="DK53" s="4"/>
      <c r="DL53" s="4"/>
      <c r="DM53" s="4"/>
      <c r="DN53" s="4"/>
      <c r="DO53" s="4"/>
      <c r="DP53" s="4"/>
      <c r="DQ53" s="4"/>
      <c r="DR53" s="4"/>
      <c r="DS53" s="4"/>
      <c r="DT53" s="4"/>
      <c r="DU53" s="4"/>
      <c r="DV53" s="4"/>
      <c r="DW53" s="4"/>
      <c r="DX53" s="4"/>
      <c r="DY53" s="4"/>
      <c r="DZ53" s="4"/>
      <c r="EA53" s="4"/>
      <c r="EB53" s="4"/>
      <c r="EC53" s="4"/>
      <c r="ED53" s="4"/>
      <c r="EE53" s="4"/>
      <c r="EF53" s="4"/>
      <c r="EG53" s="4"/>
      <c r="EH53" s="4"/>
      <c r="EI53" s="4"/>
      <c r="EJ53" s="4"/>
      <c r="EK53" s="4"/>
      <c r="EL53" s="4"/>
      <c r="EM53" s="4"/>
      <c r="EN53" s="4"/>
      <c r="EO53" s="4"/>
      <c r="EP53" s="4"/>
      <c r="EQ53" s="4"/>
      <c r="ER53" s="4"/>
      <c r="ES53" s="4"/>
      <c r="ET53" s="4"/>
      <c r="EU53" s="4"/>
      <c r="EV53" s="4"/>
      <c r="EW53" s="4"/>
      <c r="EX53" s="4"/>
      <c r="EY53" s="4"/>
      <c r="EZ53" s="4"/>
      <c r="FA53" s="4"/>
      <c r="FB53" s="4"/>
      <c r="FC53" s="4"/>
      <c r="FD53" s="4"/>
      <c r="FE53" s="4"/>
      <c r="FF53" s="4"/>
      <c r="FG53" s="4"/>
      <c r="FH53" s="4"/>
      <c r="FI53" s="4"/>
      <c r="FJ53" s="4"/>
      <c r="FK53" s="4"/>
      <c r="FL53" s="4"/>
      <c r="FM53" s="4"/>
      <c r="FN53" s="4"/>
      <c r="FO53" s="4"/>
      <c r="FP53" s="4"/>
      <c r="FQ53" s="4"/>
      <c r="FR53" s="4"/>
      <c r="FS53" s="4"/>
      <c r="FT53" s="4"/>
      <c r="FU53" s="4"/>
      <c r="FV53" s="4"/>
      <c r="FW53" s="4"/>
      <c r="FX53" s="4"/>
      <c r="FY53" s="4"/>
      <c r="FZ53" s="4"/>
      <c r="GA53" s="4"/>
      <c r="GB53" s="4"/>
      <c r="GC53" s="4"/>
      <c r="GD53" s="4"/>
      <c r="GE53" s="4"/>
      <c r="GF53" s="4"/>
      <c r="GG53" s="4"/>
      <c r="GH53" s="4"/>
      <c r="GI53" s="4"/>
      <c r="GJ53" s="4"/>
      <c r="GK53" s="4"/>
      <c r="GL53" s="4"/>
      <c r="GM53" s="4"/>
      <c r="GN53" s="4"/>
      <c r="GO53" s="4"/>
      <c r="GP53" s="4"/>
      <c r="GQ53" s="4"/>
      <c r="GR53" s="4"/>
      <c r="GS53" s="4"/>
      <c r="GT53" s="4"/>
      <c r="GU53" s="4"/>
      <c r="GV53" s="4"/>
      <c r="GW53" s="4"/>
      <c r="GX53" s="4"/>
      <c r="GY53" s="4"/>
      <c r="GZ53" s="4"/>
      <c r="HA53" s="4"/>
      <c r="HB53" s="4"/>
      <c r="HC53" s="4"/>
      <c r="HD53" s="4"/>
      <c r="HE53" s="4"/>
      <c r="HF53" s="4"/>
      <c r="HG53" s="4"/>
      <c r="HH53" s="4"/>
      <c r="HI53" s="4"/>
      <c r="HJ53" s="4"/>
      <c r="HK53" s="4"/>
      <c r="HL53" s="4"/>
      <c r="HM53" s="4"/>
      <c r="HN53" s="4"/>
      <c r="HO53" s="4"/>
      <c r="HP53" s="4"/>
      <c r="HQ53" s="4"/>
      <c r="HR53" s="4"/>
      <c r="HS53" s="4"/>
      <c r="HT53" s="4"/>
      <c r="HU53" s="4"/>
    </row>
    <row r="54" spans="2:229" s="6" customFormat="1" ht="15" customHeight="1" x14ac:dyDescent="0.2">
      <c r="B54" s="193"/>
      <c r="C54" s="15" t="s">
        <v>92</v>
      </c>
      <c r="D54" s="43" t="s">
        <v>93</v>
      </c>
      <c r="E54" s="38" t="s">
        <v>13</v>
      </c>
      <c r="F54" s="88">
        <v>3</v>
      </c>
      <c r="G54" s="18">
        <f t="shared" si="10"/>
        <v>12</v>
      </c>
      <c r="H54" s="157" t="s">
        <v>14</v>
      </c>
      <c r="I54" s="86">
        <f>IF(H54&lt;&gt;"",HLOOKUP(H54,'GPA Table'!$B$5:$M$8,2,FALSE ),"")</f>
        <v>4</v>
      </c>
      <c r="J54" s="22">
        <f t="shared" si="11"/>
        <v>12</v>
      </c>
      <c r="K54" s="89"/>
      <c r="L54" s="89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"/>
      <c r="BC54" s="4"/>
      <c r="BD54" s="4"/>
      <c r="BE54" s="4"/>
      <c r="BF54" s="4"/>
      <c r="BG54" s="4"/>
      <c r="BH54" s="4"/>
      <c r="BI54" s="4"/>
      <c r="BJ54" s="4"/>
      <c r="BK54" s="4"/>
      <c r="BL54" s="4"/>
      <c r="BM54" s="4"/>
      <c r="BN54" s="4"/>
      <c r="BO54" s="4"/>
      <c r="BP54" s="4"/>
      <c r="BQ54" s="4"/>
      <c r="BR54" s="4"/>
      <c r="BS54" s="4"/>
      <c r="BT54" s="4"/>
      <c r="BU54" s="4"/>
      <c r="BV54" s="4"/>
      <c r="BW54" s="4"/>
      <c r="BX54" s="4"/>
      <c r="BY54" s="4"/>
      <c r="BZ54" s="4"/>
      <c r="CA54" s="4"/>
      <c r="CB54" s="4"/>
      <c r="CC54" s="4"/>
      <c r="CD54" s="4"/>
      <c r="CE54" s="4"/>
      <c r="CF54" s="4"/>
      <c r="CG54" s="4"/>
      <c r="CH54" s="4"/>
      <c r="CI54" s="4"/>
      <c r="CJ54" s="4"/>
      <c r="CK54" s="4"/>
      <c r="CL54" s="4"/>
      <c r="CM54" s="4"/>
      <c r="CN54" s="4"/>
      <c r="CO54" s="4"/>
      <c r="CP54" s="4"/>
      <c r="CQ54" s="4"/>
      <c r="CR54" s="4"/>
      <c r="CS54" s="4"/>
      <c r="CT54" s="4"/>
      <c r="CU54" s="4"/>
      <c r="CV54" s="4"/>
      <c r="CW54" s="4"/>
      <c r="CX54" s="4"/>
      <c r="CY54" s="4"/>
      <c r="CZ54" s="4"/>
      <c r="DA54" s="4"/>
      <c r="DB54" s="4"/>
      <c r="DC54" s="4"/>
      <c r="DD54" s="4"/>
      <c r="DE54" s="4"/>
      <c r="DF54" s="4"/>
      <c r="DG54" s="4"/>
      <c r="DH54" s="4"/>
      <c r="DI54" s="4"/>
      <c r="DJ54" s="4"/>
      <c r="DK54" s="4"/>
      <c r="DL54" s="4"/>
      <c r="DM54" s="4"/>
      <c r="DN54" s="4"/>
      <c r="DO54" s="4"/>
      <c r="DP54" s="4"/>
      <c r="DQ54" s="4"/>
      <c r="DR54" s="4"/>
      <c r="DS54" s="4"/>
      <c r="DT54" s="4"/>
      <c r="DU54" s="4"/>
      <c r="DV54" s="4"/>
      <c r="DW54" s="4"/>
      <c r="DX54" s="4"/>
      <c r="DY54" s="4"/>
      <c r="DZ54" s="4"/>
      <c r="EA54" s="4"/>
      <c r="EB54" s="4"/>
      <c r="EC54" s="4"/>
      <c r="ED54" s="4"/>
      <c r="EE54" s="4"/>
      <c r="EF54" s="4"/>
      <c r="EG54" s="4"/>
      <c r="EH54" s="4"/>
      <c r="EI54" s="4"/>
      <c r="EJ54" s="4"/>
      <c r="EK54" s="4"/>
      <c r="EL54" s="4"/>
      <c r="EM54" s="4"/>
      <c r="EN54" s="4"/>
      <c r="EO54" s="4"/>
      <c r="EP54" s="4"/>
      <c r="EQ54" s="4"/>
      <c r="ER54" s="4"/>
      <c r="ES54" s="4"/>
      <c r="ET54" s="4"/>
      <c r="EU54" s="4"/>
      <c r="EV54" s="4"/>
      <c r="EW54" s="4"/>
      <c r="EX54" s="4"/>
      <c r="EY54" s="4"/>
      <c r="EZ54" s="4"/>
      <c r="FA54" s="4"/>
      <c r="FB54" s="4"/>
      <c r="FC54" s="4"/>
      <c r="FD54" s="4"/>
      <c r="FE54" s="4"/>
      <c r="FF54" s="4"/>
      <c r="FG54" s="4"/>
      <c r="FH54" s="4"/>
      <c r="FI54" s="4"/>
      <c r="FJ54" s="4"/>
      <c r="FK54" s="4"/>
      <c r="FL54" s="4"/>
      <c r="FM54" s="4"/>
      <c r="FN54" s="4"/>
      <c r="FO54" s="4"/>
      <c r="FP54" s="4"/>
      <c r="FQ54" s="4"/>
      <c r="FR54" s="4"/>
      <c r="FS54" s="4"/>
      <c r="FT54" s="4"/>
      <c r="FU54" s="4"/>
      <c r="FV54" s="4"/>
      <c r="FW54" s="4"/>
      <c r="FX54" s="4"/>
      <c r="FY54" s="4"/>
      <c r="FZ54" s="4"/>
      <c r="GA54" s="4"/>
      <c r="GB54" s="4"/>
      <c r="GC54" s="4"/>
      <c r="GD54" s="4"/>
      <c r="GE54" s="4"/>
      <c r="GF54" s="4"/>
      <c r="GG54" s="4"/>
      <c r="GH54" s="4"/>
      <c r="GI54" s="4"/>
      <c r="GJ54" s="4"/>
      <c r="GK54" s="4"/>
      <c r="GL54" s="4"/>
      <c r="GM54" s="4"/>
      <c r="GN54" s="4"/>
      <c r="GO54" s="4"/>
      <c r="GP54" s="4"/>
      <c r="GQ54" s="4"/>
      <c r="GR54" s="4"/>
      <c r="GS54" s="4"/>
      <c r="GT54" s="4"/>
      <c r="GU54" s="4"/>
      <c r="GV54" s="4"/>
      <c r="GW54" s="4"/>
      <c r="GX54" s="4"/>
      <c r="GY54" s="4"/>
      <c r="GZ54" s="4"/>
      <c r="HA54" s="4"/>
      <c r="HB54" s="4"/>
      <c r="HC54" s="4"/>
      <c r="HD54" s="4"/>
      <c r="HE54" s="4"/>
      <c r="HF54" s="4"/>
      <c r="HG54" s="4"/>
      <c r="HH54" s="4"/>
      <c r="HI54" s="4"/>
      <c r="HJ54" s="4"/>
      <c r="HK54" s="4"/>
      <c r="HL54" s="4"/>
      <c r="HM54" s="4"/>
      <c r="HN54" s="4"/>
      <c r="HO54" s="4"/>
      <c r="HP54" s="4"/>
      <c r="HQ54" s="4"/>
      <c r="HR54" s="4"/>
      <c r="HS54" s="4"/>
      <c r="HT54" s="4"/>
      <c r="HU54" s="4"/>
    </row>
    <row r="55" spans="2:229" s="6" customFormat="1" ht="15" customHeight="1" x14ac:dyDescent="0.2">
      <c r="B55" s="193"/>
      <c r="C55" s="90" t="s">
        <v>94</v>
      </c>
      <c r="D55" s="91" t="s">
        <v>95</v>
      </c>
      <c r="E55" s="92" t="s">
        <v>82</v>
      </c>
      <c r="F55" s="93">
        <v>3</v>
      </c>
      <c r="G55" s="18">
        <f t="shared" si="10"/>
        <v>12</v>
      </c>
      <c r="H55" s="158" t="s">
        <v>14</v>
      </c>
      <c r="I55" s="86">
        <f>IF(H55&lt;&gt;"",HLOOKUP(H55,'GPA Table'!$B$5:$M$8,2,FALSE ),"")</f>
        <v>4</v>
      </c>
      <c r="J55" s="22">
        <f t="shared" si="11"/>
        <v>12</v>
      </c>
      <c r="K55" s="94"/>
      <c r="L55" s="9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4"/>
      <c r="BC55" s="4"/>
      <c r="BD55" s="4"/>
      <c r="BE55" s="4"/>
      <c r="BF55" s="4"/>
      <c r="BG55" s="4"/>
      <c r="BH55" s="4"/>
      <c r="BI55" s="4"/>
      <c r="BJ55" s="4"/>
      <c r="BK55" s="4"/>
      <c r="BL55" s="4"/>
      <c r="BM55" s="4"/>
      <c r="BN55" s="4"/>
      <c r="BO55" s="4"/>
      <c r="BP55" s="4"/>
      <c r="BQ55" s="4"/>
      <c r="BR55" s="4"/>
      <c r="BS55" s="4"/>
      <c r="BT55" s="4"/>
      <c r="BU55" s="4"/>
      <c r="BV55" s="4"/>
      <c r="BW55" s="4"/>
      <c r="BX55" s="4"/>
      <c r="BY55" s="4"/>
      <c r="BZ55" s="4"/>
      <c r="CA55" s="4"/>
      <c r="CB55" s="4"/>
      <c r="CC55" s="4"/>
      <c r="CD55" s="4"/>
      <c r="CE55" s="4"/>
      <c r="CF55" s="4"/>
      <c r="CG55" s="4"/>
      <c r="CH55" s="4"/>
      <c r="CI55" s="4"/>
      <c r="CJ55" s="4"/>
      <c r="CK55" s="4"/>
      <c r="CL55" s="4"/>
      <c r="CM55" s="4"/>
      <c r="CN55" s="4"/>
      <c r="CO55" s="4"/>
      <c r="CP55" s="4"/>
      <c r="CQ55" s="4"/>
      <c r="CR55" s="4"/>
      <c r="CS55" s="4"/>
      <c r="CT55" s="4"/>
      <c r="CU55" s="4"/>
      <c r="CV55" s="4"/>
      <c r="CW55" s="4"/>
      <c r="CX55" s="4"/>
      <c r="CY55" s="4"/>
      <c r="CZ55" s="4"/>
      <c r="DA55" s="4"/>
      <c r="DB55" s="4"/>
      <c r="DC55" s="4"/>
      <c r="DD55" s="4"/>
      <c r="DE55" s="4"/>
      <c r="DF55" s="4"/>
      <c r="DG55" s="4"/>
      <c r="DH55" s="4"/>
      <c r="DI55" s="4"/>
      <c r="DJ55" s="4"/>
      <c r="DK55" s="4"/>
      <c r="DL55" s="4"/>
      <c r="DM55" s="4"/>
      <c r="DN55" s="4"/>
      <c r="DO55" s="4"/>
      <c r="DP55" s="4"/>
      <c r="DQ55" s="4"/>
      <c r="DR55" s="4"/>
      <c r="DS55" s="4"/>
      <c r="DT55" s="4"/>
      <c r="DU55" s="4"/>
      <c r="DV55" s="4"/>
      <c r="DW55" s="4"/>
      <c r="DX55" s="4"/>
      <c r="DY55" s="4"/>
      <c r="DZ55" s="4"/>
      <c r="EA55" s="4"/>
      <c r="EB55" s="4"/>
      <c r="EC55" s="4"/>
      <c r="ED55" s="4"/>
      <c r="EE55" s="4"/>
      <c r="EF55" s="4"/>
      <c r="EG55" s="4"/>
      <c r="EH55" s="4"/>
      <c r="EI55" s="4"/>
      <c r="EJ55" s="4"/>
      <c r="EK55" s="4"/>
      <c r="EL55" s="4"/>
      <c r="EM55" s="4"/>
      <c r="EN55" s="4"/>
      <c r="EO55" s="4"/>
      <c r="EP55" s="4"/>
      <c r="EQ55" s="4"/>
      <c r="ER55" s="4"/>
      <c r="ES55" s="4"/>
      <c r="ET55" s="4"/>
      <c r="EU55" s="4"/>
      <c r="EV55" s="4"/>
      <c r="EW55" s="4"/>
      <c r="EX55" s="4"/>
      <c r="EY55" s="4"/>
      <c r="EZ55" s="4"/>
      <c r="FA55" s="4"/>
      <c r="FB55" s="4"/>
      <c r="FC55" s="4"/>
      <c r="FD55" s="4"/>
      <c r="FE55" s="4"/>
      <c r="FF55" s="4"/>
      <c r="FG55" s="4"/>
      <c r="FH55" s="4"/>
      <c r="FI55" s="4"/>
      <c r="FJ55" s="4"/>
      <c r="FK55" s="4"/>
      <c r="FL55" s="4"/>
      <c r="FM55" s="4"/>
      <c r="FN55" s="4"/>
      <c r="FO55" s="4"/>
      <c r="FP55" s="4"/>
      <c r="FQ55" s="4"/>
      <c r="FR55" s="4"/>
      <c r="FS55" s="4"/>
      <c r="FT55" s="4"/>
      <c r="FU55" s="4"/>
      <c r="FV55" s="4"/>
      <c r="FW55" s="4"/>
      <c r="FX55" s="4"/>
      <c r="FY55" s="4"/>
      <c r="FZ55" s="4"/>
      <c r="GA55" s="4"/>
      <c r="GB55" s="4"/>
      <c r="GC55" s="4"/>
      <c r="GD55" s="4"/>
      <c r="GE55" s="4"/>
      <c r="GF55" s="4"/>
      <c r="GG55" s="4"/>
      <c r="GH55" s="4"/>
      <c r="GI55" s="4"/>
      <c r="GJ55" s="4"/>
      <c r="GK55" s="4"/>
      <c r="GL55" s="4"/>
      <c r="GM55" s="4"/>
      <c r="GN55" s="4"/>
      <c r="GO55" s="4"/>
      <c r="GP55" s="4"/>
      <c r="GQ55" s="4"/>
      <c r="GR55" s="4"/>
      <c r="GS55" s="4"/>
      <c r="GT55" s="4"/>
      <c r="GU55" s="4"/>
      <c r="GV55" s="4"/>
      <c r="GW55" s="4"/>
      <c r="GX55" s="4"/>
      <c r="GY55" s="4"/>
      <c r="GZ55" s="4"/>
      <c r="HA55" s="4"/>
      <c r="HB55" s="4"/>
      <c r="HC55" s="4"/>
      <c r="HD55" s="4"/>
      <c r="HE55" s="4"/>
      <c r="HF55" s="4"/>
      <c r="HG55" s="4"/>
      <c r="HH55" s="4"/>
      <c r="HI55" s="4"/>
      <c r="HJ55" s="4"/>
      <c r="HK55" s="4"/>
      <c r="HL55" s="4"/>
      <c r="HM55" s="4"/>
      <c r="HN55" s="4"/>
      <c r="HO55" s="4"/>
      <c r="HP55" s="4"/>
      <c r="HQ55" s="4"/>
      <c r="HR55" s="4"/>
      <c r="HS55" s="4"/>
      <c r="HT55" s="4"/>
      <c r="HU55" s="4"/>
    </row>
    <row r="56" spans="2:229" s="6" customFormat="1" ht="15" customHeight="1" thickBot="1" x14ac:dyDescent="0.25">
      <c r="B56" s="193"/>
      <c r="C56" s="95" t="s">
        <v>96</v>
      </c>
      <c r="D56" s="51" t="s">
        <v>97</v>
      </c>
      <c r="E56" s="61" t="s">
        <v>13</v>
      </c>
      <c r="F56" s="96">
        <v>3</v>
      </c>
      <c r="G56" s="18">
        <f t="shared" si="10"/>
        <v>12</v>
      </c>
      <c r="H56" s="159" t="s">
        <v>14</v>
      </c>
      <c r="I56" s="97">
        <f>IF(H56&lt;&gt;"",HLOOKUP(H56,'GPA Table'!$B$5:$M$8,2,FALSE ),"")</f>
        <v>4</v>
      </c>
      <c r="J56" s="22">
        <f t="shared" si="11"/>
        <v>12</v>
      </c>
      <c r="K56" s="99"/>
      <c r="L56" s="99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4"/>
      <c r="BC56" s="4"/>
      <c r="BD56" s="4"/>
      <c r="BE56" s="4"/>
      <c r="BF56" s="4"/>
      <c r="BG56" s="4"/>
      <c r="BH56" s="4"/>
      <c r="BI56" s="4"/>
      <c r="BJ56" s="4"/>
      <c r="BK56" s="4"/>
      <c r="BL56" s="4"/>
      <c r="BM56" s="4"/>
      <c r="BN56" s="4"/>
      <c r="BO56" s="4"/>
      <c r="BP56" s="4"/>
      <c r="BQ56" s="4"/>
      <c r="BR56" s="4"/>
      <c r="BS56" s="4"/>
      <c r="BT56" s="4"/>
      <c r="BU56" s="4"/>
      <c r="BV56" s="4"/>
      <c r="BW56" s="4"/>
      <c r="BX56" s="4"/>
      <c r="BY56" s="4"/>
      <c r="BZ56" s="4"/>
      <c r="CA56" s="4"/>
      <c r="CB56" s="4"/>
      <c r="CC56" s="4"/>
      <c r="CD56" s="4"/>
      <c r="CE56" s="4"/>
      <c r="CF56" s="4"/>
      <c r="CG56" s="4"/>
      <c r="CH56" s="4"/>
      <c r="CI56" s="4"/>
      <c r="CJ56" s="4"/>
      <c r="CK56" s="4"/>
      <c r="CL56" s="4"/>
      <c r="CM56" s="4"/>
      <c r="CN56" s="4"/>
      <c r="CO56" s="4"/>
      <c r="CP56" s="4"/>
      <c r="CQ56" s="4"/>
      <c r="CR56" s="4"/>
      <c r="CS56" s="4"/>
      <c r="CT56" s="4"/>
      <c r="CU56" s="4"/>
      <c r="CV56" s="4"/>
      <c r="CW56" s="4"/>
      <c r="CX56" s="4"/>
      <c r="CY56" s="4"/>
      <c r="CZ56" s="4"/>
      <c r="DA56" s="4"/>
      <c r="DB56" s="4"/>
      <c r="DC56" s="4"/>
      <c r="DD56" s="4"/>
      <c r="DE56" s="4"/>
      <c r="DF56" s="4"/>
      <c r="DG56" s="4"/>
      <c r="DH56" s="4"/>
      <c r="DI56" s="4"/>
      <c r="DJ56" s="4"/>
      <c r="DK56" s="4"/>
      <c r="DL56" s="4"/>
      <c r="DM56" s="4"/>
      <c r="DN56" s="4"/>
      <c r="DO56" s="4"/>
      <c r="DP56" s="4"/>
      <c r="DQ56" s="4"/>
      <c r="DR56" s="4"/>
      <c r="DS56" s="4"/>
      <c r="DT56" s="4"/>
      <c r="DU56" s="4"/>
      <c r="DV56" s="4"/>
      <c r="DW56" s="4"/>
      <c r="DX56" s="4"/>
      <c r="DY56" s="4"/>
      <c r="DZ56" s="4"/>
      <c r="EA56" s="4"/>
      <c r="EB56" s="4"/>
      <c r="EC56" s="4"/>
      <c r="ED56" s="4"/>
      <c r="EE56" s="4"/>
      <c r="EF56" s="4"/>
      <c r="EG56" s="4"/>
      <c r="EH56" s="4"/>
      <c r="EI56" s="4"/>
      <c r="EJ56" s="4"/>
      <c r="EK56" s="4"/>
      <c r="EL56" s="4"/>
      <c r="EM56" s="4"/>
      <c r="EN56" s="4"/>
      <c r="EO56" s="4"/>
      <c r="EP56" s="4"/>
      <c r="EQ56" s="4"/>
      <c r="ER56" s="4"/>
      <c r="ES56" s="4"/>
      <c r="ET56" s="4"/>
      <c r="EU56" s="4"/>
      <c r="EV56" s="4"/>
      <c r="EW56" s="4"/>
      <c r="EX56" s="4"/>
      <c r="EY56" s="4"/>
      <c r="EZ56" s="4"/>
      <c r="FA56" s="4"/>
      <c r="FB56" s="4"/>
      <c r="FC56" s="4"/>
      <c r="FD56" s="4"/>
      <c r="FE56" s="4"/>
      <c r="FF56" s="4"/>
      <c r="FG56" s="4"/>
      <c r="FH56" s="4"/>
      <c r="FI56" s="4"/>
      <c r="FJ56" s="4"/>
      <c r="FK56" s="4"/>
      <c r="FL56" s="4"/>
      <c r="FM56" s="4"/>
      <c r="FN56" s="4"/>
      <c r="FO56" s="4"/>
      <c r="FP56" s="4"/>
      <c r="FQ56" s="4"/>
      <c r="FR56" s="4"/>
      <c r="FS56" s="4"/>
      <c r="FT56" s="4"/>
      <c r="FU56" s="4"/>
      <c r="FV56" s="4"/>
      <c r="FW56" s="4"/>
      <c r="FX56" s="4"/>
      <c r="FY56" s="4"/>
      <c r="FZ56" s="4"/>
      <c r="GA56" s="4"/>
      <c r="GB56" s="4"/>
      <c r="GC56" s="4"/>
      <c r="GD56" s="4"/>
      <c r="GE56" s="4"/>
      <c r="GF56" s="4"/>
      <c r="GG56" s="4"/>
      <c r="GH56" s="4"/>
      <c r="GI56" s="4"/>
      <c r="GJ56" s="4"/>
      <c r="GK56" s="4"/>
      <c r="GL56" s="4"/>
      <c r="GM56" s="4"/>
      <c r="GN56" s="4"/>
      <c r="GO56" s="4"/>
      <c r="GP56" s="4"/>
      <c r="GQ56" s="4"/>
      <c r="GR56" s="4"/>
      <c r="GS56" s="4"/>
      <c r="GT56" s="4"/>
      <c r="GU56" s="4"/>
      <c r="GV56" s="4"/>
      <c r="GW56" s="4"/>
      <c r="GX56" s="4"/>
      <c r="GY56" s="4"/>
      <c r="GZ56" s="4"/>
      <c r="HA56" s="4"/>
      <c r="HB56" s="4"/>
      <c r="HC56" s="4"/>
      <c r="HD56" s="4"/>
      <c r="HE56" s="4"/>
      <c r="HF56" s="4"/>
      <c r="HG56" s="4"/>
      <c r="HH56" s="4"/>
      <c r="HI56" s="4"/>
      <c r="HJ56" s="4"/>
      <c r="HK56" s="4"/>
      <c r="HL56" s="4"/>
      <c r="HM56" s="4"/>
      <c r="HN56" s="4"/>
      <c r="HO56" s="4"/>
      <c r="HP56" s="4"/>
      <c r="HQ56" s="4"/>
      <c r="HR56" s="4"/>
      <c r="HS56" s="4"/>
      <c r="HT56" s="4"/>
      <c r="HU56" s="4"/>
    </row>
    <row r="57" spans="2:229" ht="15" customHeight="1" thickTop="1" thickBot="1" x14ac:dyDescent="0.25">
      <c r="B57" s="189"/>
      <c r="C57" s="190"/>
      <c r="D57" s="191"/>
      <c r="E57" s="196"/>
      <c r="F57" s="100">
        <f>SUM(F51:F56)</f>
        <v>17</v>
      </c>
      <c r="G57" s="100">
        <f>SUM(G51:G56)</f>
        <v>68</v>
      </c>
      <c r="H57" s="101"/>
      <c r="I57" s="79">
        <f t="shared" ref="I57:J57" si="12">SUM(I51:I56)</f>
        <v>24</v>
      </c>
      <c r="J57" s="100">
        <f t="shared" si="12"/>
        <v>68</v>
      </c>
      <c r="K57" s="100">
        <f>J57/G57*4</f>
        <v>4</v>
      </c>
      <c r="L57" s="100">
        <f>(K34+K21+K42+K50+K57)/5</f>
        <v>4</v>
      </c>
    </row>
    <row r="58" spans="2:229" ht="15" customHeight="1" x14ac:dyDescent="0.2">
      <c r="B58" s="188" t="s">
        <v>98</v>
      </c>
      <c r="C58" s="12" t="s">
        <v>99</v>
      </c>
      <c r="D58" s="65" t="s">
        <v>100</v>
      </c>
      <c r="E58" s="14" t="s">
        <v>13</v>
      </c>
      <c r="F58" s="22">
        <v>2</v>
      </c>
      <c r="G58" s="15">
        <f>F58*4</f>
        <v>8</v>
      </c>
      <c r="H58" s="70" t="s">
        <v>14</v>
      </c>
      <c r="I58" s="102">
        <f>IF(H58&lt;&gt;"",HLOOKUP(H58,'GPA Table'!$B$5:$M$8,2,FALSE ),"")</f>
        <v>4</v>
      </c>
      <c r="J58" s="14">
        <f>I58*F58</f>
        <v>8</v>
      </c>
      <c r="K58" s="103"/>
      <c r="L58" s="103"/>
    </row>
    <row r="59" spans="2:229" ht="15" customHeight="1" x14ac:dyDescent="0.2">
      <c r="B59" s="193"/>
      <c r="C59" s="18" t="s">
        <v>101</v>
      </c>
      <c r="D59" s="19" t="s">
        <v>102</v>
      </c>
      <c r="E59" s="17" t="s">
        <v>82</v>
      </c>
      <c r="F59" s="22">
        <v>4</v>
      </c>
      <c r="G59" s="15">
        <f>F59*4</f>
        <v>16</v>
      </c>
      <c r="H59" s="70" t="s">
        <v>14</v>
      </c>
      <c r="I59" s="24">
        <f>IF(H59&lt;&gt;"",HLOOKUP(H59,'GPA Table'!$B$5:$M$8,2,FALSE ),"")</f>
        <v>4</v>
      </c>
      <c r="J59" s="17">
        <f>I59*F59</f>
        <v>16</v>
      </c>
      <c r="K59" s="25"/>
      <c r="L59" s="25"/>
    </row>
    <row r="60" spans="2:229" ht="15" customHeight="1" x14ac:dyDescent="0.2">
      <c r="B60" s="193"/>
      <c r="C60" s="18" t="s">
        <v>103</v>
      </c>
      <c r="D60" s="19" t="s">
        <v>104</v>
      </c>
      <c r="E60" s="17" t="s">
        <v>82</v>
      </c>
      <c r="F60" s="22">
        <v>3</v>
      </c>
      <c r="G60" s="15">
        <f t="shared" ref="G60:G63" si="13">F60*4</f>
        <v>12</v>
      </c>
      <c r="H60" s="70" t="s">
        <v>14</v>
      </c>
      <c r="I60" s="24">
        <f>IF(H60&lt;&gt;"",HLOOKUP(H60,'GPA Table'!$B$5:$M$8,2,FALSE ),"")</f>
        <v>4</v>
      </c>
      <c r="J60" s="17">
        <f t="shared" ref="J60:J63" si="14">I60*F60</f>
        <v>12</v>
      </c>
      <c r="K60" s="25"/>
      <c r="L60" s="25"/>
    </row>
    <row r="61" spans="2:229" ht="15" customHeight="1" x14ac:dyDescent="0.2">
      <c r="B61" s="193"/>
      <c r="C61" s="104" t="s">
        <v>105</v>
      </c>
      <c r="D61" s="105" t="s">
        <v>106</v>
      </c>
      <c r="E61" s="106" t="s">
        <v>13</v>
      </c>
      <c r="F61" s="107">
        <v>3</v>
      </c>
      <c r="G61" s="15">
        <f t="shared" si="13"/>
        <v>12</v>
      </c>
      <c r="H61" s="153" t="s">
        <v>14</v>
      </c>
      <c r="I61" s="24">
        <f>IF(H61&lt;&gt;"",HLOOKUP(H61,'GPA Table'!$B$5:$M$8,2,FALSE ),"")</f>
        <v>4</v>
      </c>
      <c r="J61" s="17">
        <f t="shared" si="14"/>
        <v>12</v>
      </c>
      <c r="K61" s="108"/>
      <c r="L61" s="108"/>
    </row>
    <row r="62" spans="2:229" ht="15" customHeight="1" x14ac:dyDescent="0.2">
      <c r="B62" s="193"/>
      <c r="C62" s="15" t="s">
        <v>107</v>
      </c>
      <c r="D62" s="16" t="s">
        <v>108</v>
      </c>
      <c r="E62" s="17" t="s">
        <v>13</v>
      </c>
      <c r="F62" s="22">
        <v>3</v>
      </c>
      <c r="G62" s="15">
        <f t="shared" si="13"/>
        <v>12</v>
      </c>
      <c r="H62" s="70" t="s">
        <v>14</v>
      </c>
      <c r="I62" s="24">
        <f>IF(H62&lt;&gt;"",HLOOKUP(H62,'GPA Table'!$B$5:$M$8,2,FALSE ),"")</f>
        <v>4</v>
      </c>
      <c r="J62" s="17">
        <f t="shared" si="14"/>
        <v>12</v>
      </c>
      <c r="K62" s="25"/>
      <c r="L62" s="25"/>
    </row>
    <row r="63" spans="2:229" ht="15" customHeight="1" thickBot="1" x14ac:dyDescent="0.25">
      <c r="B63" s="193"/>
      <c r="C63" s="50" t="s">
        <v>109</v>
      </c>
      <c r="D63" s="51" t="s">
        <v>110</v>
      </c>
      <c r="E63" s="30" t="s">
        <v>13</v>
      </c>
      <c r="F63" s="98">
        <v>3</v>
      </c>
      <c r="G63" s="15">
        <f t="shared" si="13"/>
        <v>12</v>
      </c>
      <c r="H63" s="154" t="s">
        <v>14</v>
      </c>
      <c r="I63" s="109">
        <f>IF(H63&lt;&gt;"",HLOOKUP(H63,'GPA Table'!$B$5:$M$8,2,FALSE ),"")</f>
        <v>4</v>
      </c>
      <c r="J63" s="98">
        <f t="shared" si="14"/>
        <v>12</v>
      </c>
      <c r="K63" s="110"/>
      <c r="L63" s="110"/>
    </row>
    <row r="64" spans="2:229" ht="15" customHeight="1" thickTop="1" thickBot="1" x14ac:dyDescent="0.25">
      <c r="B64" s="189"/>
      <c r="C64" s="190"/>
      <c r="D64" s="191"/>
      <c r="E64" s="192"/>
      <c r="F64" s="100">
        <f>SUM(F58:F63)</f>
        <v>18</v>
      </c>
      <c r="G64" s="100">
        <f>SUM(G58:G63)</f>
        <v>72</v>
      </c>
      <c r="H64" s="101"/>
      <c r="I64" s="111">
        <f t="shared" ref="I64:J64" si="15">SUM(I58:I63)</f>
        <v>24</v>
      </c>
      <c r="J64" s="100">
        <f t="shared" si="15"/>
        <v>72</v>
      </c>
      <c r="K64" s="100">
        <f>J64/G64*4</f>
        <v>4</v>
      </c>
      <c r="L64" s="100">
        <f>(K34+K21+K42+K64+K57+K50)/6</f>
        <v>4</v>
      </c>
    </row>
    <row r="65" spans="2:12" ht="15" customHeight="1" thickBot="1" x14ac:dyDescent="0.25">
      <c r="B65" s="188" t="s">
        <v>111</v>
      </c>
      <c r="C65" s="112" t="s">
        <v>112</v>
      </c>
      <c r="D65" s="113" t="s">
        <v>113</v>
      </c>
      <c r="E65" s="114" t="s">
        <v>13</v>
      </c>
      <c r="F65" s="115">
        <v>6</v>
      </c>
      <c r="G65" s="115">
        <f>F65*4</f>
        <v>24</v>
      </c>
      <c r="H65" s="155" t="s">
        <v>14</v>
      </c>
      <c r="I65" s="116">
        <f>IF(H65&lt;&gt;"",HLOOKUP(H65,'GPA Table'!$B$5:$M$8,2,FALSE ),"")</f>
        <v>4</v>
      </c>
      <c r="J65" s="115">
        <f>I65*F65</f>
        <v>24</v>
      </c>
      <c r="K65" s="117"/>
      <c r="L65" s="117"/>
    </row>
    <row r="66" spans="2:12" ht="15" customHeight="1" thickTop="1" thickBot="1" x14ac:dyDescent="0.25">
      <c r="B66" s="189"/>
      <c r="C66" s="190"/>
      <c r="D66" s="191"/>
      <c r="E66" s="192"/>
      <c r="F66" s="31">
        <f>SUM(F65)</f>
        <v>6</v>
      </c>
      <c r="G66" s="31">
        <f>SUM(G65)</f>
        <v>24</v>
      </c>
      <c r="H66" s="32"/>
      <c r="I66" s="64">
        <f>SUM(I64:I65)</f>
        <v>28</v>
      </c>
      <c r="J66" s="62">
        <f>SUM(J65)</f>
        <v>24</v>
      </c>
      <c r="K66" s="31">
        <f>J66/G66*4</f>
        <v>4</v>
      </c>
      <c r="L66" s="31">
        <f>(K34+K21+K42+K66+K57+K50)/6</f>
        <v>4</v>
      </c>
    </row>
    <row r="67" spans="2:12" ht="15" customHeight="1" x14ac:dyDescent="0.2">
      <c r="B67" s="188" t="s">
        <v>114</v>
      </c>
      <c r="C67" s="12" t="s">
        <v>115</v>
      </c>
      <c r="D67" s="118" t="s">
        <v>116</v>
      </c>
      <c r="E67" s="34" t="s">
        <v>82</v>
      </c>
      <c r="F67" s="81">
        <v>2</v>
      </c>
      <c r="G67" s="12">
        <f>F67*4</f>
        <v>8</v>
      </c>
      <c r="H67" s="149" t="s">
        <v>14</v>
      </c>
      <c r="I67" s="82">
        <f>IF(H67&lt;&gt;"",HLOOKUP(H67,'GPA Table'!$B$5:$M$8,2,FALSE ),"")</f>
        <v>4</v>
      </c>
      <c r="J67" s="81">
        <f>I67*F67</f>
        <v>8</v>
      </c>
      <c r="K67" s="83"/>
      <c r="L67" s="83"/>
    </row>
    <row r="68" spans="2:12" ht="15" customHeight="1" x14ac:dyDescent="0.2">
      <c r="B68" s="193"/>
      <c r="C68" s="90" t="s">
        <v>117</v>
      </c>
      <c r="D68" s="56" t="s">
        <v>118</v>
      </c>
      <c r="E68" s="57" t="s">
        <v>119</v>
      </c>
      <c r="F68" s="119">
        <v>3</v>
      </c>
      <c r="G68" s="161">
        <f>F68*4</f>
        <v>12</v>
      </c>
      <c r="H68" s="150" t="s">
        <v>14</v>
      </c>
      <c r="I68" s="86">
        <f>IF(H68&lt;&gt;"",HLOOKUP(H68,'GPA Table'!$B$5:$M$8,2,FALSE ),"")</f>
        <v>4</v>
      </c>
      <c r="J68" s="22">
        <f>I68*F68</f>
        <v>12</v>
      </c>
      <c r="K68" s="120"/>
      <c r="L68" s="120"/>
    </row>
    <row r="69" spans="2:12" ht="15" customHeight="1" x14ac:dyDescent="0.2">
      <c r="B69" s="193"/>
      <c r="C69" s="15" t="s">
        <v>120</v>
      </c>
      <c r="D69" s="16" t="s">
        <v>121</v>
      </c>
      <c r="E69" s="38" t="s">
        <v>119</v>
      </c>
      <c r="F69" s="22">
        <v>3</v>
      </c>
      <c r="G69" s="161">
        <f t="shared" ref="G69:G73" si="16">F69*4</f>
        <v>12</v>
      </c>
      <c r="H69" s="70" t="s">
        <v>14</v>
      </c>
      <c r="I69" s="86">
        <f>IF(H69&lt;&gt;"",HLOOKUP(H69,'GPA Table'!$B$5:$M$8,2,FALSE ),"")</f>
        <v>4</v>
      </c>
      <c r="J69" s="22">
        <f t="shared" ref="J69:J73" si="17">I69*F69</f>
        <v>12</v>
      </c>
      <c r="K69" s="73"/>
      <c r="L69" s="73"/>
    </row>
    <row r="70" spans="2:12" ht="15" customHeight="1" x14ac:dyDescent="0.2">
      <c r="B70" s="193"/>
      <c r="C70" s="36" t="s">
        <v>122</v>
      </c>
      <c r="D70" s="37" t="s">
        <v>123</v>
      </c>
      <c r="E70" s="35" t="s">
        <v>119</v>
      </c>
      <c r="F70" s="53">
        <v>3</v>
      </c>
      <c r="G70" s="209"/>
      <c r="H70" s="210"/>
      <c r="I70" s="121" t="str">
        <f>IF(H70&lt;&gt;"",HLOOKUP(H70,'GPA Table'!$B$5:$M$8,2,FALSE ),"")</f>
        <v/>
      </c>
      <c r="J70" s="25"/>
      <c r="K70" s="122"/>
      <c r="L70" s="122"/>
    </row>
    <row r="71" spans="2:12" ht="15" customHeight="1" x14ac:dyDescent="0.2">
      <c r="B71" s="193"/>
      <c r="C71" s="123" t="s">
        <v>124</v>
      </c>
      <c r="D71" s="124" t="s">
        <v>125</v>
      </c>
      <c r="E71" s="125" t="s">
        <v>119</v>
      </c>
      <c r="F71" s="126">
        <v>3</v>
      </c>
      <c r="G71" s="209"/>
      <c r="H71" s="211"/>
      <c r="I71" s="121" t="str">
        <f>IF(H71&lt;&gt;"",HLOOKUP(H71,'GPA Table'!$B$5:$M$8,2,FALSE ),"")</f>
        <v/>
      </c>
      <c r="J71" s="25"/>
      <c r="K71" s="73"/>
      <c r="L71" s="73"/>
    </row>
    <row r="72" spans="2:12" ht="15" customHeight="1" x14ac:dyDescent="0.2">
      <c r="B72" s="193"/>
      <c r="C72" s="127" t="s">
        <v>126</v>
      </c>
      <c r="D72" s="128" t="s">
        <v>127</v>
      </c>
      <c r="E72" s="129" t="s">
        <v>119</v>
      </c>
      <c r="F72" s="130">
        <v>3</v>
      </c>
      <c r="G72" s="161">
        <f t="shared" si="16"/>
        <v>12</v>
      </c>
      <c r="H72" s="152" t="s">
        <v>14</v>
      </c>
      <c r="I72" s="86">
        <f>IF(H72&lt;&gt;"",HLOOKUP(H72,'GPA Table'!$B$5:$M$8,2,FALSE ),"")</f>
        <v>4</v>
      </c>
      <c r="J72" s="22">
        <f>I72*F72</f>
        <v>12</v>
      </c>
      <c r="K72" s="131"/>
      <c r="L72" s="131"/>
    </row>
    <row r="73" spans="2:12" ht="15" customHeight="1" thickBot="1" x14ac:dyDescent="0.25">
      <c r="B73" s="193"/>
      <c r="C73" s="50" t="s">
        <v>128</v>
      </c>
      <c r="D73" s="132" t="s">
        <v>129</v>
      </c>
      <c r="E73" s="52" t="s">
        <v>119</v>
      </c>
      <c r="F73" s="53">
        <v>3</v>
      </c>
      <c r="G73" s="161">
        <f t="shared" si="16"/>
        <v>12</v>
      </c>
      <c r="H73" s="151" t="s">
        <v>14</v>
      </c>
      <c r="I73" s="97">
        <f>IF(H73&lt;&gt;"",HLOOKUP(H73,'GPA Table'!$B$5:$M$8,2,FALSE ),"")</f>
        <v>4</v>
      </c>
      <c r="J73" s="98">
        <f t="shared" si="17"/>
        <v>12</v>
      </c>
      <c r="K73" s="133"/>
      <c r="L73" s="133"/>
    </row>
    <row r="74" spans="2:12" ht="15" customHeight="1" thickTop="1" thickBot="1" x14ac:dyDescent="0.25">
      <c r="B74" s="189"/>
      <c r="C74" s="184" t="s">
        <v>130</v>
      </c>
      <c r="D74" s="185"/>
      <c r="E74" s="186"/>
      <c r="F74" s="31">
        <f>SUM(F67:F73)-6</f>
        <v>14</v>
      </c>
      <c r="G74" s="31">
        <f>SUM(G67:G73)</f>
        <v>56</v>
      </c>
      <c r="H74" s="32"/>
      <c r="I74" s="111">
        <f>SUM(I67:I73)</f>
        <v>20</v>
      </c>
      <c r="J74" s="100">
        <f>SUM(J67:J73)</f>
        <v>56</v>
      </c>
      <c r="K74" s="100">
        <f>J74/G74*4</f>
        <v>4</v>
      </c>
      <c r="L74" s="100">
        <f>(K34+K21+K42+K66+K57+K50+K74)/7</f>
        <v>4</v>
      </c>
    </row>
    <row r="75" spans="2:12" ht="15" customHeight="1" x14ac:dyDescent="0.2">
      <c r="B75" s="188" t="s">
        <v>131</v>
      </c>
      <c r="C75" s="12" t="s">
        <v>132</v>
      </c>
      <c r="D75" s="13" t="s">
        <v>133</v>
      </c>
      <c r="E75" s="34" t="s">
        <v>82</v>
      </c>
      <c r="F75" s="22">
        <v>4</v>
      </c>
      <c r="G75" s="81">
        <f>F75*4</f>
        <v>16</v>
      </c>
      <c r="H75" s="42" t="s">
        <v>14</v>
      </c>
      <c r="I75" s="102">
        <f>IF(H75&lt;&gt;"",HLOOKUP(H75,'GPA Table'!$B$5:$M$8,2,FALSE ),"")</f>
        <v>4</v>
      </c>
      <c r="J75" s="81">
        <f>I75*F75</f>
        <v>16</v>
      </c>
      <c r="K75" s="103"/>
      <c r="L75" s="103"/>
    </row>
    <row r="76" spans="2:12" ht="15" customHeight="1" x14ac:dyDescent="0.2">
      <c r="B76" s="193"/>
      <c r="C76" s="15" t="s">
        <v>134</v>
      </c>
      <c r="D76" s="16" t="s">
        <v>135</v>
      </c>
      <c r="E76" s="38" t="s">
        <v>119</v>
      </c>
      <c r="F76" s="22">
        <v>3</v>
      </c>
      <c r="G76" s="25"/>
      <c r="H76" s="25"/>
      <c r="I76" s="134" t="str">
        <f>IF(H76&lt;&gt;"",HLOOKUP(H76,'GPA Table'!$B$5:$M$8,2,FALSE ),"")</f>
        <v/>
      </c>
      <c r="J76" s="25"/>
      <c r="K76" s="25"/>
      <c r="L76" s="25"/>
    </row>
    <row r="77" spans="2:12" ht="15" customHeight="1" x14ac:dyDescent="0.2">
      <c r="B77" s="193"/>
      <c r="C77" s="15" t="s">
        <v>136</v>
      </c>
      <c r="D77" s="16" t="s">
        <v>137</v>
      </c>
      <c r="E77" s="38" t="s">
        <v>119</v>
      </c>
      <c r="F77" s="22">
        <v>3</v>
      </c>
      <c r="G77" s="22">
        <f t="shared" ref="G77:G79" si="18">F77*4</f>
        <v>12</v>
      </c>
      <c r="H77" s="42" t="s">
        <v>14</v>
      </c>
      <c r="I77" s="24">
        <f>IF(H77&lt;&gt;"",HLOOKUP(H77,'GPA Table'!$B$5:$M$8,2,FALSE ),"")</f>
        <v>4</v>
      </c>
      <c r="J77" s="22">
        <f>I77*F77</f>
        <v>12</v>
      </c>
      <c r="K77" s="25"/>
      <c r="L77" s="25"/>
    </row>
    <row r="78" spans="2:12" ht="15" customHeight="1" x14ac:dyDescent="0.2">
      <c r="B78" s="193"/>
      <c r="C78" s="90" t="s">
        <v>138</v>
      </c>
      <c r="D78" s="91" t="s">
        <v>139</v>
      </c>
      <c r="E78" s="92" t="s">
        <v>119</v>
      </c>
      <c r="F78" s="93">
        <v>3</v>
      </c>
      <c r="G78" s="22">
        <f t="shared" si="18"/>
        <v>12</v>
      </c>
      <c r="H78" s="135" t="s">
        <v>14</v>
      </c>
      <c r="I78" s="24">
        <f>IF(H78&lt;&gt;"",HLOOKUP(H78,'GPA Table'!$B$5:$M$8,2,FALSE ),"")</f>
        <v>4</v>
      </c>
      <c r="J78" s="22">
        <f t="shared" ref="J78:J79" si="19">I78*F78</f>
        <v>12</v>
      </c>
      <c r="K78" s="136"/>
      <c r="L78" s="136"/>
    </row>
    <row r="79" spans="2:12" ht="15" customHeight="1" thickBot="1" x14ac:dyDescent="0.25">
      <c r="B79" s="193"/>
      <c r="C79" s="50" t="s">
        <v>140</v>
      </c>
      <c r="D79" s="137" t="s">
        <v>141</v>
      </c>
      <c r="E79" s="52" t="s">
        <v>119</v>
      </c>
      <c r="F79" s="138">
        <v>3</v>
      </c>
      <c r="G79" s="98">
        <f t="shared" si="18"/>
        <v>12</v>
      </c>
      <c r="H79" s="139" t="s">
        <v>14</v>
      </c>
      <c r="I79" s="109">
        <f>IF(H79&lt;&gt;"",HLOOKUP(H79,'GPA Table'!$B$5:$M$8,2,FALSE ),"")</f>
        <v>4</v>
      </c>
      <c r="J79" s="98">
        <f t="shared" si="19"/>
        <v>12</v>
      </c>
      <c r="K79" s="140"/>
      <c r="L79" s="140"/>
    </row>
    <row r="80" spans="2:12" ht="15" customHeight="1" thickTop="1" thickBot="1" x14ac:dyDescent="0.25">
      <c r="B80" s="189"/>
      <c r="C80" s="184" t="s">
        <v>142</v>
      </c>
      <c r="D80" s="185"/>
      <c r="E80" s="186"/>
      <c r="F80" s="141">
        <f>SUM(F75:F79)-3</f>
        <v>13</v>
      </c>
      <c r="G80" s="141">
        <f>SUM(G75:G79)</f>
        <v>52</v>
      </c>
      <c r="H80" s="142"/>
      <c r="I80" s="143">
        <f>SUM(I75:I79)</f>
        <v>16</v>
      </c>
      <c r="J80" s="141">
        <f>SUM(J75:J79)</f>
        <v>52</v>
      </c>
      <c r="K80" s="141">
        <f>J80/G80*4</f>
        <v>4</v>
      </c>
      <c r="L80" s="141">
        <f>(K34+K21+K42+K66+K57+K50+K80+K74)/8</f>
        <v>4</v>
      </c>
    </row>
    <row r="81" spans="2:229" ht="15" customHeight="1" x14ac:dyDescent="0.2">
      <c r="J81" s="4"/>
    </row>
    <row r="82" spans="2:229" ht="15" customHeight="1" x14ac:dyDescent="0.2">
      <c r="D82" s="205"/>
      <c r="E82" s="205"/>
      <c r="J82" s="4"/>
    </row>
    <row r="83" spans="2:229" s="144" customFormat="1" ht="15" customHeight="1" x14ac:dyDescent="0.2">
      <c r="B83" s="1"/>
      <c r="C83" s="2"/>
      <c r="D83" s="205"/>
      <c r="E83" s="205"/>
      <c r="F83" s="1"/>
      <c r="G83" s="1"/>
      <c r="H83" s="4"/>
      <c r="I83" s="5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4"/>
      <c r="BC83" s="4"/>
      <c r="BD83" s="4"/>
      <c r="BE83" s="4"/>
      <c r="BF83" s="4"/>
      <c r="BG83" s="4"/>
      <c r="BH83" s="4"/>
      <c r="BI83" s="4"/>
      <c r="BJ83" s="4"/>
      <c r="BK83" s="4"/>
      <c r="BL83" s="4"/>
      <c r="BM83" s="4"/>
      <c r="BN83" s="4"/>
      <c r="BO83" s="4"/>
      <c r="BP83" s="4"/>
      <c r="BQ83" s="4"/>
      <c r="BR83" s="4"/>
      <c r="BS83" s="4"/>
      <c r="BT83" s="4"/>
      <c r="BU83" s="4"/>
      <c r="BV83" s="4"/>
      <c r="BW83" s="4"/>
      <c r="BX83" s="4"/>
      <c r="BY83" s="4"/>
      <c r="BZ83" s="4"/>
      <c r="CA83" s="4"/>
      <c r="CB83" s="4"/>
      <c r="CC83" s="4"/>
      <c r="CD83" s="4"/>
      <c r="CE83" s="4"/>
      <c r="CF83" s="4"/>
      <c r="CG83" s="4"/>
      <c r="CH83" s="4"/>
      <c r="CI83" s="4"/>
      <c r="CJ83" s="4"/>
      <c r="CK83" s="4"/>
      <c r="CL83" s="4"/>
      <c r="CM83" s="4"/>
      <c r="CN83" s="4"/>
      <c r="CO83" s="4"/>
      <c r="CP83" s="4"/>
      <c r="CQ83" s="4"/>
      <c r="CR83" s="4"/>
      <c r="CS83" s="4"/>
      <c r="CT83" s="4"/>
      <c r="CU83" s="4"/>
      <c r="CV83" s="4"/>
      <c r="CW83" s="4"/>
      <c r="CX83" s="4"/>
      <c r="CY83" s="4"/>
      <c r="CZ83" s="4"/>
      <c r="DA83" s="4"/>
      <c r="DB83" s="4"/>
      <c r="DC83" s="4"/>
      <c r="DD83" s="4"/>
      <c r="DE83" s="4"/>
      <c r="DF83" s="4"/>
      <c r="DG83" s="4"/>
      <c r="DH83" s="4"/>
      <c r="DI83" s="4"/>
      <c r="DJ83" s="4"/>
      <c r="DK83" s="4"/>
      <c r="DL83" s="4"/>
      <c r="DM83" s="4"/>
      <c r="DN83" s="4"/>
      <c r="DO83" s="4"/>
      <c r="DP83" s="4"/>
      <c r="DQ83" s="4"/>
      <c r="DR83" s="4"/>
      <c r="DS83" s="4"/>
      <c r="DT83" s="4"/>
      <c r="DU83" s="4"/>
      <c r="DV83" s="4"/>
      <c r="DW83" s="4"/>
      <c r="DX83" s="4"/>
      <c r="DY83" s="4"/>
      <c r="DZ83" s="4"/>
      <c r="EA83" s="4"/>
      <c r="EB83" s="4"/>
      <c r="EC83" s="4"/>
      <c r="ED83" s="4"/>
      <c r="EE83" s="4"/>
      <c r="EF83" s="4"/>
      <c r="EG83" s="4"/>
      <c r="EH83" s="4"/>
      <c r="EI83" s="4"/>
      <c r="EJ83" s="4"/>
      <c r="EK83" s="4"/>
      <c r="EL83" s="4"/>
      <c r="EM83" s="4"/>
      <c r="EN83" s="4"/>
      <c r="EO83" s="4"/>
      <c r="EP83" s="4"/>
      <c r="EQ83" s="4"/>
      <c r="ER83" s="4"/>
      <c r="ES83" s="4"/>
      <c r="ET83" s="4"/>
      <c r="EU83" s="4"/>
      <c r="EV83" s="4"/>
      <c r="EW83" s="4"/>
      <c r="EX83" s="4"/>
      <c r="EY83" s="4"/>
      <c r="EZ83" s="4"/>
      <c r="FA83" s="4"/>
      <c r="FB83" s="4"/>
      <c r="FC83" s="4"/>
      <c r="FD83" s="4"/>
      <c r="FE83" s="4"/>
      <c r="FF83" s="4"/>
      <c r="FG83" s="4"/>
      <c r="FH83" s="4"/>
      <c r="FI83" s="4"/>
      <c r="FJ83" s="4"/>
      <c r="FK83" s="4"/>
      <c r="FL83" s="4"/>
      <c r="FM83" s="4"/>
      <c r="FN83" s="4"/>
      <c r="FO83" s="4"/>
      <c r="FP83" s="4"/>
      <c r="FQ83" s="4"/>
      <c r="FR83" s="4"/>
      <c r="FS83" s="4"/>
      <c r="FT83" s="4"/>
      <c r="FU83" s="4"/>
      <c r="FV83" s="4"/>
      <c r="FW83" s="4"/>
      <c r="FX83" s="4"/>
      <c r="FY83" s="4"/>
      <c r="FZ83" s="4"/>
      <c r="GA83" s="4"/>
      <c r="GB83" s="4"/>
      <c r="GC83" s="4"/>
      <c r="GD83" s="4"/>
      <c r="GE83" s="4"/>
      <c r="GF83" s="4"/>
      <c r="GG83" s="4"/>
      <c r="GH83" s="4"/>
      <c r="GI83" s="4"/>
      <c r="GJ83" s="4"/>
      <c r="GK83" s="4"/>
      <c r="GL83" s="4"/>
      <c r="GM83" s="4"/>
      <c r="GN83" s="4"/>
      <c r="GO83" s="4"/>
      <c r="GP83" s="4"/>
      <c r="GQ83" s="4"/>
      <c r="GR83" s="4"/>
      <c r="GS83" s="4"/>
      <c r="GT83" s="4"/>
      <c r="GU83" s="4"/>
      <c r="GV83" s="4"/>
      <c r="GW83" s="4"/>
      <c r="GX83" s="4"/>
      <c r="GY83" s="4"/>
      <c r="GZ83" s="4"/>
      <c r="HA83" s="4"/>
      <c r="HB83" s="4"/>
      <c r="HC83" s="4"/>
      <c r="HD83" s="4"/>
      <c r="HE83" s="4"/>
      <c r="HF83" s="4"/>
      <c r="HG83" s="4"/>
      <c r="HH83" s="4"/>
      <c r="HI83" s="4"/>
      <c r="HJ83" s="4"/>
      <c r="HK83" s="4"/>
      <c r="HL83" s="4"/>
      <c r="HM83" s="4"/>
      <c r="HN83" s="4"/>
      <c r="HO83" s="4"/>
      <c r="HP83" s="4"/>
      <c r="HQ83" s="4"/>
      <c r="HR83" s="4"/>
      <c r="HS83" s="4"/>
      <c r="HT83" s="4"/>
      <c r="HU83" s="4"/>
    </row>
    <row r="84" spans="2:229" s="144" customFormat="1" ht="15" customHeight="1" x14ac:dyDescent="0.2">
      <c r="B84" s="1"/>
      <c r="C84" s="2"/>
      <c r="D84" s="205"/>
      <c r="E84" s="205"/>
      <c r="F84" s="1"/>
      <c r="G84" s="1"/>
      <c r="H84" s="4"/>
      <c r="I84" s="5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4"/>
      <c r="BC84" s="4"/>
      <c r="BD84" s="4"/>
      <c r="BE84" s="4"/>
      <c r="BF84" s="4"/>
      <c r="BG84" s="4"/>
      <c r="BH84" s="4"/>
      <c r="BI84" s="4"/>
      <c r="BJ84" s="4"/>
      <c r="BK84" s="4"/>
      <c r="BL84" s="4"/>
      <c r="BM84" s="4"/>
      <c r="BN84" s="4"/>
      <c r="BO84" s="4"/>
      <c r="BP84" s="4"/>
      <c r="BQ84" s="4"/>
      <c r="BR84" s="4"/>
      <c r="BS84" s="4"/>
      <c r="BT84" s="4"/>
      <c r="BU84" s="4"/>
      <c r="BV84" s="4"/>
      <c r="BW84" s="4"/>
      <c r="BX84" s="4"/>
      <c r="BY84" s="4"/>
      <c r="BZ84" s="4"/>
      <c r="CA84" s="4"/>
      <c r="CB84" s="4"/>
      <c r="CC84" s="4"/>
      <c r="CD84" s="4"/>
      <c r="CE84" s="4"/>
      <c r="CF84" s="4"/>
      <c r="CG84" s="4"/>
      <c r="CH84" s="4"/>
      <c r="CI84" s="4"/>
      <c r="CJ84" s="4"/>
      <c r="CK84" s="4"/>
      <c r="CL84" s="4"/>
      <c r="CM84" s="4"/>
      <c r="CN84" s="4"/>
      <c r="CO84" s="4"/>
      <c r="CP84" s="4"/>
      <c r="CQ84" s="4"/>
      <c r="CR84" s="4"/>
      <c r="CS84" s="4"/>
      <c r="CT84" s="4"/>
      <c r="CU84" s="4"/>
      <c r="CV84" s="4"/>
      <c r="CW84" s="4"/>
      <c r="CX84" s="4"/>
      <c r="CY84" s="4"/>
      <c r="CZ84" s="4"/>
      <c r="DA84" s="4"/>
      <c r="DB84" s="4"/>
      <c r="DC84" s="4"/>
      <c r="DD84" s="4"/>
      <c r="DE84" s="4"/>
      <c r="DF84" s="4"/>
      <c r="DG84" s="4"/>
      <c r="DH84" s="4"/>
      <c r="DI84" s="4"/>
      <c r="DJ84" s="4"/>
      <c r="DK84" s="4"/>
      <c r="DL84" s="4"/>
      <c r="DM84" s="4"/>
      <c r="DN84" s="4"/>
      <c r="DO84" s="4"/>
      <c r="DP84" s="4"/>
      <c r="DQ84" s="4"/>
      <c r="DR84" s="4"/>
      <c r="DS84" s="4"/>
      <c r="DT84" s="4"/>
      <c r="DU84" s="4"/>
      <c r="DV84" s="4"/>
      <c r="DW84" s="4"/>
      <c r="DX84" s="4"/>
      <c r="DY84" s="4"/>
      <c r="DZ84" s="4"/>
      <c r="EA84" s="4"/>
      <c r="EB84" s="4"/>
      <c r="EC84" s="4"/>
      <c r="ED84" s="4"/>
      <c r="EE84" s="4"/>
      <c r="EF84" s="4"/>
      <c r="EG84" s="4"/>
      <c r="EH84" s="4"/>
      <c r="EI84" s="4"/>
      <c r="EJ84" s="4"/>
      <c r="EK84" s="4"/>
      <c r="EL84" s="4"/>
      <c r="EM84" s="4"/>
      <c r="EN84" s="4"/>
      <c r="EO84" s="4"/>
      <c r="EP84" s="4"/>
      <c r="EQ84" s="4"/>
      <c r="ER84" s="4"/>
      <c r="ES84" s="4"/>
      <c r="ET84" s="4"/>
      <c r="EU84" s="4"/>
      <c r="EV84" s="4"/>
      <c r="EW84" s="4"/>
      <c r="EX84" s="4"/>
      <c r="EY84" s="4"/>
      <c r="EZ84" s="4"/>
      <c r="FA84" s="4"/>
      <c r="FB84" s="4"/>
      <c r="FC84" s="4"/>
      <c r="FD84" s="4"/>
      <c r="FE84" s="4"/>
      <c r="FF84" s="4"/>
      <c r="FG84" s="4"/>
      <c r="FH84" s="4"/>
      <c r="FI84" s="4"/>
      <c r="FJ84" s="4"/>
      <c r="FK84" s="4"/>
      <c r="FL84" s="4"/>
      <c r="FM84" s="4"/>
      <c r="FN84" s="4"/>
      <c r="FO84" s="4"/>
      <c r="FP84" s="4"/>
      <c r="FQ84" s="4"/>
      <c r="FR84" s="4"/>
      <c r="FS84" s="4"/>
      <c r="FT84" s="4"/>
      <c r="FU84" s="4"/>
      <c r="FV84" s="4"/>
      <c r="FW84" s="4"/>
      <c r="FX84" s="4"/>
      <c r="FY84" s="4"/>
      <c r="FZ84" s="4"/>
      <c r="GA84" s="4"/>
      <c r="GB84" s="4"/>
      <c r="GC84" s="4"/>
      <c r="GD84" s="4"/>
      <c r="GE84" s="4"/>
      <c r="GF84" s="4"/>
      <c r="GG84" s="4"/>
      <c r="GH84" s="4"/>
      <c r="GI84" s="4"/>
      <c r="GJ84" s="4"/>
      <c r="GK84" s="4"/>
      <c r="GL84" s="4"/>
      <c r="GM84" s="4"/>
      <c r="GN84" s="4"/>
      <c r="GO84" s="4"/>
      <c r="GP84" s="4"/>
      <c r="GQ84" s="4"/>
      <c r="GR84" s="4"/>
      <c r="GS84" s="4"/>
      <c r="GT84" s="4"/>
      <c r="GU84" s="4"/>
      <c r="GV84" s="4"/>
      <c r="GW84" s="4"/>
      <c r="GX84" s="4"/>
      <c r="GY84" s="4"/>
      <c r="GZ84" s="4"/>
      <c r="HA84" s="4"/>
      <c r="HB84" s="4"/>
      <c r="HC84" s="4"/>
      <c r="HD84" s="4"/>
      <c r="HE84" s="4"/>
      <c r="HF84" s="4"/>
      <c r="HG84" s="4"/>
      <c r="HH84" s="4"/>
      <c r="HI84" s="4"/>
      <c r="HJ84" s="4"/>
      <c r="HK84" s="4"/>
      <c r="HL84" s="4"/>
      <c r="HM84" s="4"/>
      <c r="HN84" s="4"/>
      <c r="HO84" s="4"/>
      <c r="HP84" s="4"/>
      <c r="HQ84" s="4"/>
      <c r="HR84" s="4"/>
      <c r="HS84" s="4"/>
      <c r="HT84" s="4"/>
      <c r="HU84" s="4"/>
    </row>
    <row r="85" spans="2:229" s="144" customFormat="1" ht="15" customHeight="1" x14ac:dyDescent="0.2">
      <c r="B85" s="1"/>
      <c r="C85" s="2"/>
      <c r="D85" s="1"/>
      <c r="E85" s="1"/>
      <c r="F85" s="1"/>
      <c r="G85" s="1"/>
      <c r="H85" s="4"/>
      <c r="I85" s="5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4"/>
      <c r="BC85" s="4"/>
      <c r="BD85" s="4"/>
      <c r="BE85" s="4"/>
      <c r="BF85" s="4"/>
      <c r="BG85" s="4"/>
      <c r="BH85" s="4"/>
      <c r="BI85" s="4"/>
      <c r="BJ85" s="4"/>
      <c r="BK85" s="4"/>
      <c r="BL85" s="4"/>
      <c r="BM85" s="4"/>
      <c r="BN85" s="4"/>
      <c r="BO85" s="4"/>
      <c r="BP85" s="4"/>
      <c r="BQ85" s="4"/>
      <c r="BR85" s="4"/>
      <c r="BS85" s="4"/>
      <c r="BT85" s="4"/>
      <c r="BU85" s="4"/>
      <c r="BV85" s="4"/>
      <c r="BW85" s="4"/>
      <c r="BX85" s="4"/>
      <c r="BY85" s="4"/>
      <c r="BZ85" s="4"/>
      <c r="CA85" s="4"/>
      <c r="CB85" s="4"/>
      <c r="CC85" s="4"/>
      <c r="CD85" s="4"/>
      <c r="CE85" s="4"/>
      <c r="CF85" s="4"/>
      <c r="CG85" s="4"/>
      <c r="CH85" s="4"/>
      <c r="CI85" s="4"/>
      <c r="CJ85" s="4"/>
      <c r="CK85" s="4"/>
      <c r="CL85" s="4"/>
      <c r="CM85" s="4"/>
      <c r="CN85" s="4"/>
      <c r="CO85" s="4"/>
      <c r="CP85" s="4"/>
      <c r="CQ85" s="4"/>
      <c r="CR85" s="4"/>
      <c r="CS85" s="4"/>
      <c r="CT85" s="4"/>
      <c r="CU85" s="4"/>
      <c r="CV85" s="4"/>
      <c r="CW85" s="4"/>
      <c r="CX85" s="4"/>
      <c r="CY85" s="4"/>
      <c r="CZ85" s="4"/>
      <c r="DA85" s="4"/>
      <c r="DB85" s="4"/>
      <c r="DC85" s="4"/>
      <c r="DD85" s="4"/>
      <c r="DE85" s="4"/>
      <c r="DF85" s="4"/>
      <c r="DG85" s="4"/>
      <c r="DH85" s="4"/>
      <c r="DI85" s="4"/>
      <c r="DJ85" s="4"/>
      <c r="DK85" s="4"/>
      <c r="DL85" s="4"/>
      <c r="DM85" s="4"/>
      <c r="DN85" s="4"/>
      <c r="DO85" s="4"/>
      <c r="DP85" s="4"/>
      <c r="DQ85" s="4"/>
      <c r="DR85" s="4"/>
      <c r="DS85" s="4"/>
      <c r="DT85" s="4"/>
      <c r="DU85" s="4"/>
      <c r="DV85" s="4"/>
      <c r="DW85" s="4"/>
      <c r="DX85" s="4"/>
      <c r="DY85" s="4"/>
      <c r="DZ85" s="4"/>
      <c r="EA85" s="4"/>
      <c r="EB85" s="4"/>
      <c r="EC85" s="4"/>
      <c r="ED85" s="4"/>
      <c r="EE85" s="4"/>
      <c r="EF85" s="4"/>
      <c r="EG85" s="4"/>
      <c r="EH85" s="4"/>
      <c r="EI85" s="4"/>
      <c r="EJ85" s="4"/>
      <c r="EK85" s="4"/>
      <c r="EL85" s="4"/>
      <c r="EM85" s="4"/>
      <c r="EN85" s="4"/>
      <c r="EO85" s="4"/>
      <c r="EP85" s="4"/>
      <c r="EQ85" s="4"/>
      <c r="ER85" s="4"/>
      <c r="ES85" s="4"/>
      <c r="ET85" s="4"/>
      <c r="EU85" s="4"/>
      <c r="EV85" s="4"/>
      <c r="EW85" s="4"/>
      <c r="EX85" s="4"/>
      <c r="EY85" s="4"/>
      <c r="EZ85" s="4"/>
      <c r="FA85" s="4"/>
      <c r="FB85" s="4"/>
      <c r="FC85" s="4"/>
      <c r="FD85" s="4"/>
      <c r="FE85" s="4"/>
      <c r="FF85" s="4"/>
      <c r="FG85" s="4"/>
      <c r="FH85" s="4"/>
      <c r="FI85" s="4"/>
      <c r="FJ85" s="4"/>
      <c r="FK85" s="4"/>
      <c r="FL85" s="4"/>
      <c r="FM85" s="4"/>
      <c r="FN85" s="4"/>
      <c r="FO85" s="4"/>
      <c r="FP85" s="4"/>
      <c r="FQ85" s="4"/>
      <c r="FR85" s="4"/>
      <c r="FS85" s="4"/>
      <c r="FT85" s="4"/>
      <c r="FU85" s="4"/>
      <c r="FV85" s="4"/>
      <c r="FW85" s="4"/>
      <c r="FX85" s="4"/>
      <c r="FY85" s="4"/>
      <c r="FZ85" s="4"/>
      <c r="GA85" s="4"/>
      <c r="GB85" s="4"/>
      <c r="GC85" s="4"/>
      <c r="GD85" s="4"/>
      <c r="GE85" s="4"/>
      <c r="GF85" s="4"/>
      <c r="GG85" s="4"/>
      <c r="GH85" s="4"/>
      <c r="GI85" s="4"/>
      <c r="GJ85" s="4"/>
      <c r="GK85" s="4"/>
      <c r="GL85" s="4"/>
      <c r="GM85" s="4"/>
      <c r="GN85" s="4"/>
      <c r="GO85" s="4"/>
      <c r="GP85" s="4"/>
      <c r="GQ85" s="4"/>
      <c r="GR85" s="4"/>
      <c r="GS85" s="4"/>
      <c r="GT85" s="4"/>
      <c r="GU85" s="4"/>
      <c r="GV85" s="4"/>
      <c r="GW85" s="4"/>
      <c r="GX85" s="4"/>
      <c r="GY85" s="4"/>
      <c r="GZ85" s="4"/>
      <c r="HA85" s="4"/>
      <c r="HB85" s="4"/>
      <c r="HC85" s="4"/>
      <c r="HD85" s="4"/>
      <c r="HE85" s="4"/>
      <c r="HF85" s="4"/>
      <c r="HG85" s="4"/>
      <c r="HH85" s="4"/>
      <c r="HI85" s="4"/>
      <c r="HJ85" s="4"/>
      <c r="HK85" s="4"/>
      <c r="HL85" s="4"/>
      <c r="HM85" s="4"/>
      <c r="HN85" s="4"/>
      <c r="HO85" s="4"/>
      <c r="HP85" s="4"/>
      <c r="HQ85" s="4"/>
      <c r="HR85" s="4"/>
      <c r="HS85" s="4"/>
      <c r="HT85" s="4"/>
      <c r="HU85" s="4"/>
    </row>
    <row r="86" spans="2:229" s="144" customFormat="1" ht="15" customHeight="1" x14ac:dyDescent="0.2">
      <c r="B86" s="1"/>
      <c r="C86" s="2"/>
      <c r="D86" s="1"/>
      <c r="E86" s="1"/>
      <c r="F86" s="1"/>
      <c r="G86" s="1"/>
      <c r="H86" s="4"/>
      <c r="I86" s="5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4"/>
      <c r="BC86" s="4"/>
      <c r="BD86" s="4"/>
      <c r="BE86" s="4"/>
      <c r="BF86" s="4"/>
      <c r="BG86" s="4"/>
      <c r="BH86" s="4"/>
      <c r="BI86" s="4"/>
      <c r="BJ86" s="4"/>
      <c r="BK86" s="4"/>
      <c r="BL86" s="4"/>
      <c r="BM86" s="4"/>
      <c r="BN86" s="4"/>
      <c r="BO86" s="4"/>
      <c r="BP86" s="4"/>
      <c r="BQ86" s="4"/>
      <c r="BR86" s="4"/>
      <c r="BS86" s="4"/>
      <c r="BT86" s="4"/>
      <c r="BU86" s="4"/>
      <c r="BV86" s="4"/>
      <c r="BW86" s="4"/>
      <c r="BX86" s="4"/>
      <c r="BY86" s="4"/>
      <c r="BZ86" s="4"/>
      <c r="CA86" s="4"/>
      <c r="CB86" s="4"/>
      <c r="CC86" s="4"/>
      <c r="CD86" s="4"/>
      <c r="CE86" s="4"/>
      <c r="CF86" s="4"/>
      <c r="CG86" s="4"/>
      <c r="CH86" s="4"/>
      <c r="CI86" s="4"/>
      <c r="CJ86" s="4"/>
      <c r="CK86" s="4"/>
      <c r="CL86" s="4"/>
      <c r="CM86" s="4"/>
      <c r="CN86" s="4"/>
      <c r="CO86" s="4"/>
      <c r="CP86" s="4"/>
      <c r="CQ86" s="4"/>
      <c r="CR86" s="4"/>
      <c r="CS86" s="4"/>
      <c r="CT86" s="4"/>
      <c r="CU86" s="4"/>
      <c r="CV86" s="4"/>
      <c r="CW86" s="4"/>
      <c r="CX86" s="4"/>
      <c r="CY86" s="4"/>
      <c r="CZ86" s="4"/>
      <c r="DA86" s="4"/>
      <c r="DB86" s="4"/>
      <c r="DC86" s="4"/>
      <c r="DD86" s="4"/>
      <c r="DE86" s="4"/>
      <c r="DF86" s="4"/>
      <c r="DG86" s="4"/>
      <c r="DH86" s="4"/>
      <c r="DI86" s="4"/>
      <c r="DJ86" s="4"/>
      <c r="DK86" s="4"/>
      <c r="DL86" s="4"/>
      <c r="DM86" s="4"/>
      <c r="DN86" s="4"/>
      <c r="DO86" s="4"/>
      <c r="DP86" s="4"/>
      <c r="DQ86" s="4"/>
      <c r="DR86" s="4"/>
      <c r="DS86" s="4"/>
      <c r="DT86" s="4"/>
      <c r="DU86" s="4"/>
      <c r="DV86" s="4"/>
      <c r="DW86" s="4"/>
      <c r="DX86" s="4"/>
      <c r="DY86" s="4"/>
      <c r="DZ86" s="4"/>
      <c r="EA86" s="4"/>
      <c r="EB86" s="4"/>
      <c r="EC86" s="4"/>
      <c r="ED86" s="4"/>
      <c r="EE86" s="4"/>
      <c r="EF86" s="4"/>
      <c r="EG86" s="4"/>
      <c r="EH86" s="4"/>
      <c r="EI86" s="4"/>
      <c r="EJ86" s="4"/>
      <c r="EK86" s="4"/>
      <c r="EL86" s="4"/>
      <c r="EM86" s="4"/>
      <c r="EN86" s="4"/>
      <c r="EO86" s="4"/>
      <c r="EP86" s="4"/>
      <c r="EQ86" s="4"/>
      <c r="ER86" s="4"/>
      <c r="ES86" s="4"/>
      <c r="ET86" s="4"/>
      <c r="EU86" s="4"/>
      <c r="EV86" s="4"/>
      <c r="EW86" s="4"/>
      <c r="EX86" s="4"/>
      <c r="EY86" s="4"/>
      <c r="EZ86" s="4"/>
      <c r="FA86" s="4"/>
      <c r="FB86" s="4"/>
      <c r="FC86" s="4"/>
      <c r="FD86" s="4"/>
      <c r="FE86" s="4"/>
      <c r="FF86" s="4"/>
      <c r="FG86" s="4"/>
      <c r="FH86" s="4"/>
      <c r="FI86" s="4"/>
      <c r="FJ86" s="4"/>
      <c r="FK86" s="4"/>
      <c r="FL86" s="4"/>
      <c r="FM86" s="4"/>
      <c r="FN86" s="4"/>
      <c r="FO86" s="4"/>
      <c r="FP86" s="4"/>
      <c r="FQ86" s="4"/>
      <c r="FR86" s="4"/>
      <c r="FS86" s="4"/>
      <c r="FT86" s="4"/>
      <c r="FU86" s="4"/>
      <c r="FV86" s="4"/>
      <c r="FW86" s="4"/>
      <c r="FX86" s="4"/>
      <c r="FY86" s="4"/>
      <c r="FZ86" s="4"/>
      <c r="GA86" s="4"/>
      <c r="GB86" s="4"/>
      <c r="GC86" s="4"/>
      <c r="GD86" s="4"/>
      <c r="GE86" s="4"/>
      <c r="GF86" s="4"/>
      <c r="GG86" s="4"/>
      <c r="GH86" s="4"/>
      <c r="GI86" s="4"/>
      <c r="GJ86" s="4"/>
      <c r="GK86" s="4"/>
      <c r="GL86" s="4"/>
      <c r="GM86" s="4"/>
      <c r="GN86" s="4"/>
      <c r="GO86" s="4"/>
      <c r="GP86" s="4"/>
      <c r="GQ86" s="4"/>
      <c r="GR86" s="4"/>
      <c r="GS86" s="4"/>
      <c r="GT86" s="4"/>
      <c r="GU86" s="4"/>
      <c r="GV86" s="4"/>
      <c r="GW86" s="4"/>
      <c r="GX86" s="4"/>
      <c r="GY86" s="4"/>
      <c r="GZ86" s="4"/>
      <c r="HA86" s="4"/>
      <c r="HB86" s="4"/>
      <c r="HC86" s="4"/>
      <c r="HD86" s="4"/>
      <c r="HE86" s="4"/>
      <c r="HF86" s="4"/>
      <c r="HG86" s="4"/>
      <c r="HH86" s="4"/>
      <c r="HI86" s="4"/>
      <c r="HJ86" s="4"/>
      <c r="HK86" s="4"/>
      <c r="HL86" s="4"/>
      <c r="HM86" s="4"/>
      <c r="HN86" s="4"/>
      <c r="HO86" s="4"/>
      <c r="HP86" s="4"/>
      <c r="HQ86" s="4"/>
      <c r="HR86" s="4"/>
      <c r="HS86" s="4"/>
      <c r="HT86" s="4"/>
      <c r="HU86" s="4"/>
    </row>
  </sheetData>
  <mergeCells count="73">
    <mergeCell ref="B75:B80"/>
    <mergeCell ref="C80:E80"/>
    <mergeCell ref="D82:E82"/>
    <mergeCell ref="D83:E83"/>
    <mergeCell ref="D84:E84"/>
    <mergeCell ref="B3:L3"/>
    <mergeCell ref="B4:L4"/>
    <mergeCell ref="B5:L5"/>
    <mergeCell ref="B58:B64"/>
    <mergeCell ref="C64:E64"/>
    <mergeCell ref="L35:L36"/>
    <mergeCell ref="C34:E34"/>
    <mergeCell ref="F28:F29"/>
    <mergeCell ref="H28:H29"/>
    <mergeCell ref="I28:I29"/>
    <mergeCell ref="J28:J29"/>
    <mergeCell ref="K28:K29"/>
    <mergeCell ref="L28:L29"/>
    <mergeCell ref="K22:K24"/>
    <mergeCell ref="L22:L24"/>
    <mergeCell ref="F25:F27"/>
    <mergeCell ref="B65:B66"/>
    <mergeCell ref="C66:E66"/>
    <mergeCell ref="B67:B74"/>
    <mergeCell ref="C74:E74"/>
    <mergeCell ref="K35:K36"/>
    <mergeCell ref="C42:E42"/>
    <mergeCell ref="B43:B50"/>
    <mergeCell ref="C50:E50"/>
    <mergeCell ref="B51:B57"/>
    <mergeCell ref="C57:E57"/>
    <mergeCell ref="B35:B42"/>
    <mergeCell ref="F35:F36"/>
    <mergeCell ref="H35:H36"/>
    <mergeCell ref="I35:I36"/>
    <mergeCell ref="J35:J36"/>
    <mergeCell ref="G35:G36"/>
    <mergeCell ref="K15:K16"/>
    <mergeCell ref="L15:L16"/>
    <mergeCell ref="C21:E21"/>
    <mergeCell ref="H25:H27"/>
    <mergeCell ref="I25:I27"/>
    <mergeCell ref="J25:J27"/>
    <mergeCell ref="K25:K27"/>
    <mergeCell ref="L25:L27"/>
    <mergeCell ref="G15:G16"/>
    <mergeCell ref="G22:G24"/>
    <mergeCell ref="G25:G27"/>
    <mergeCell ref="B22:B34"/>
    <mergeCell ref="F22:F24"/>
    <mergeCell ref="H22:H24"/>
    <mergeCell ref="I22:I24"/>
    <mergeCell ref="J22:J24"/>
    <mergeCell ref="G28:G29"/>
    <mergeCell ref="K8:K10"/>
    <mergeCell ref="L8:L10"/>
    <mergeCell ref="F11:F14"/>
    <mergeCell ref="H11:H14"/>
    <mergeCell ref="I11:I14"/>
    <mergeCell ref="J11:J14"/>
    <mergeCell ref="K11:K14"/>
    <mergeCell ref="L11:L14"/>
    <mergeCell ref="G8:G10"/>
    <mergeCell ref="G11:G14"/>
    <mergeCell ref="B8:B21"/>
    <mergeCell ref="F8:F10"/>
    <mergeCell ref="H8:H10"/>
    <mergeCell ref="I8:I10"/>
    <mergeCell ref="J8:J10"/>
    <mergeCell ref="F15:F16"/>
    <mergeCell ref="H15:H16"/>
    <mergeCell ref="I15:I16"/>
    <mergeCell ref="J15:J16"/>
  </mergeCells>
  <printOptions horizontalCentered="1" verticalCentered="1"/>
  <pageMargins left="0.7" right="0.7" top="0.75" bottom="0.75" header="0.3" footer="0.3"/>
  <pageSetup paperSize="9" scale="47" orientation="portrait" horizont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B05A01-5222-4994-A32E-FEA6B9CF22DA}">
  <sheetPr>
    <tabColor indexed="8"/>
  </sheetPr>
  <dimension ref="B4:M8"/>
  <sheetViews>
    <sheetView workbookViewId="0">
      <selection activeCell="G75" sqref="G75:G79"/>
    </sheetView>
  </sheetViews>
  <sheetFormatPr defaultColWidth="9.140625" defaultRowHeight="24" customHeight="1" x14ac:dyDescent="0.25"/>
  <cols>
    <col min="1" max="1" width="2.7109375" style="145" customWidth="1"/>
    <col min="2" max="2" width="15.7109375" style="145" customWidth="1"/>
    <col min="3" max="13" width="11.5703125" style="145" customWidth="1"/>
    <col min="14" max="16384" width="9.140625" style="145"/>
  </cols>
  <sheetData>
    <row r="4" spans="2:13" ht="24" customHeight="1" x14ac:dyDescent="0.25">
      <c r="B4" s="206" t="s">
        <v>143</v>
      </c>
      <c r="C4" s="207"/>
      <c r="D4" s="207"/>
      <c r="E4" s="207"/>
      <c r="F4" s="207"/>
      <c r="G4" s="207"/>
      <c r="H4" s="207"/>
      <c r="I4" s="207"/>
      <c r="J4" s="207"/>
      <c r="K4" s="207"/>
      <c r="L4" s="207"/>
      <c r="M4" s="208"/>
    </row>
    <row r="5" spans="2:13" ht="24" customHeight="1" x14ac:dyDescent="0.25">
      <c r="B5" s="146" t="s">
        <v>144</v>
      </c>
      <c r="C5" s="147" t="s">
        <v>145</v>
      </c>
      <c r="D5" s="147" t="s">
        <v>146</v>
      </c>
      <c r="E5" s="147" t="s">
        <v>147</v>
      </c>
      <c r="F5" s="147" t="s">
        <v>148</v>
      </c>
      <c r="G5" s="147" t="s">
        <v>149</v>
      </c>
      <c r="H5" s="147" t="s">
        <v>150</v>
      </c>
      <c r="I5" s="147" t="s">
        <v>151</v>
      </c>
      <c r="J5" s="147" t="s">
        <v>152</v>
      </c>
      <c r="K5" s="147" t="s">
        <v>153</v>
      </c>
      <c r="L5" s="147" t="s">
        <v>14</v>
      </c>
      <c r="M5" s="147" t="s">
        <v>154</v>
      </c>
    </row>
    <row r="6" spans="2:13" ht="24" customHeight="1" x14ac:dyDescent="0.25">
      <c r="B6" s="146" t="s">
        <v>9</v>
      </c>
      <c r="C6" s="148">
        <v>0</v>
      </c>
      <c r="D6" s="148">
        <v>1</v>
      </c>
      <c r="E6" s="148">
        <v>1.75</v>
      </c>
      <c r="F6" s="148">
        <v>2</v>
      </c>
      <c r="G6" s="148">
        <v>2.5</v>
      </c>
      <c r="H6" s="148">
        <v>2.75</v>
      </c>
      <c r="I6" s="148">
        <v>3</v>
      </c>
      <c r="J6" s="148">
        <v>3.5</v>
      </c>
      <c r="K6" s="148">
        <v>3.75</v>
      </c>
      <c r="L6" s="148">
        <v>4</v>
      </c>
      <c r="M6" s="148">
        <v>4</v>
      </c>
    </row>
    <row r="7" spans="2:13" ht="24" customHeight="1" x14ac:dyDescent="0.25">
      <c r="B7" s="146" t="s">
        <v>155</v>
      </c>
      <c r="C7" s="148" t="s">
        <v>156</v>
      </c>
      <c r="D7" s="148" t="s">
        <v>156</v>
      </c>
      <c r="E7" s="148" t="s">
        <v>156</v>
      </c>
      <c r="F7" s="148" t="s">
        <v>157</v>
      </c>
      <c r="G7" s="148" t="s">
        <v>157</v>
      </c>
      <c r="H7" s="148" t="s">
        <v>157</v>
      </c>
      <c r="I7" s="148" t="s">
        <v>157</v>
      </c>
      <c r="J7" s="148" t="s">
        <v>157</v>
      </c>
      <c r="K7" s="148" t="s">
        <v>157</v>
      </c>
      <c r="L7" s="148" t="s">
        <v>157</v>
      </c>
      <c r="M7" s="148" t="s">
        <v>157</v>
      </c>
    </row>
    <row r="8" spans="2:13" ht="24" customHeight="1" x14ac:dyDescent="0.25">
      <c r="B8" s="146" t="s">
        <v>158</v>
      </c>
      <c r="C8" s="148" t="s">
        <v>156</v>
      </c>
      <c r="D8" s="148" t="s">
        <v>159</v>
      </c>
      <c r="E8" s="148" t="s">
        <v>159</v>
      </c>
      <c r="F8" s="148" t="s">
        <v>157</v>
      </c>
      <c r="G8" s="148" t="s">
        <v>160</v>
      </c>
      <c r="H8" s="148" t="s">
        <v>160</v>
      </c>
      <c r="I8" s="148" t="s">
        <v>161</v>
      </c>
      <c r="J8" s="148" t="s">
        <v>161</v>
      </c>
      <c r="K8" s="148" t="s">
        <v>162</v>
      </c>
      <c r="L8" s="148" t="s">
        <v>162</v>
      </c>
      <c r="M8" s="148" t="s">
        <v>163</v>
      </c>
    </row>
  </sheetData>
  <mergeCells count="1">
    <mergeCell ref="B4:M4"/>
  </mergeCells>
  <pageMargins left="0.75" right="0.75" top="1" bottom="1" header="0.5" footer="0.5"/>
  <pageSetup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A201</vt:lpstr>
      <vt:lpstr>GPA 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Quality Engineering FKAB</cp:lastModifiedBy>
  <dcterms:created xsi:type="dcterms:W3CDTF">2021-09-22T14:11:22Z</dcterms:created>
  <dcterms:modified xsi:type="dcterms:W3CDTF">2022-07-01T13:29:22Z</dcterms:modified>
</cp:coreProperties>
</file>